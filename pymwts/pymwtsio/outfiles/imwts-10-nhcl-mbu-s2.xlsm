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60" yWindow="60" windowWidth="21720" windowHeight="12045" tabRatio="475" activeTab="1"/>
  </bookViews>
  <sheets>
    <sheet name="README" sheetId="4" r:id="rId1"/>
    <sheet name="Tour" sheetId="5" r:id="rId2"/>
    <sheet name="Coverage" sheetId="6" r:id="rId3"/>
    <sheet name="Coverage_Hourly" sheetId="7" r:id="rId4"/>
    <sheet name="Summaries" sheetId="11" r:id="rId5"/>
    <sheet name="Utility" sheetId="9" r:id="rId6"/>
    <sheet name="Sheet1" sheetId="12" r:id="rId7"/>
  </sheets>
  <functionGroups builtInGroupCount="17"/>
  <definedNames>
    <definedName name="CoverageWeekLabel">Coverage!$V$2</definedName>
    <definedName name="CovRpt_Week1" localSheetId="2">Coverage!$D$6:$D$53,Coverage!$G$6:$G$53,Coverage!$J$6:$J$53,Coverage!$M$6:$M$53,Coverage!$P$6:$P$53,Coverage!$S$6:$S$53,Coverage!$V$6:$V$53</definedName>
    <definedName name="CovRpt_Week1" localSheetId="3">Coverage_Hourly!$D$6:$D$29,Coverage_Hourly!$G$6:$G$29,Coverage_Hourly!$J$6:$J$29,Coverage_Hourly!$M$6:$M$29,Coverage_Hourly!$P$6:$P$29,Coverage_Hourly!$S$6:$S$29,Coverage_Hourly!$V$6:$V$29</definedName>
    <definedName name="CovRpt_Week1" localSheetId="5">Coverage!$D$6:$D$53,Coverage!$G$6:$G$53,Coverage!$J$6:$J$53,Coverage!$M$6:$M$53,Coverage!$P$6:$P$53,Coverage!$S$6:$S$53,Coverage!$V$6:$V$53</definedName>
    <definedName name="CovRpt_Week1">Coverage!$D$6:$D$53,Coverage!$G$6:$G$53,Coverage!$J$6:$J$53,Coverage!$M$6:$M$53,Coverage!$P$6:$P$53,Coverage!$S$6:$S$53,Coverage!$V$6:$V$53</definedName>
    <definedName name="CovRpt_Week2">Coverage!$Y$6:$Y$53,Coverage!$AB$6:$AB$53,Coverage!$AE$6:$AE$53,Coverage!$AH$6:$AH$53,Coverage!$AK$6:$AK$53,Coverage!$AN$6:$AN$53,Coverage!$AQ$6:$AQ$53</definedName>
    <definedName name="Demand_Week1" localSheetId="2">Coverage!$C$6:$C$53,Coverage!$F$6:$F$53,Coverage!$I$6:$I$53,Coverage!$L$6:$L$53,Coverage!$O$6:$O$53,Coverage!$R$6:$R$53,Coverage!$U$6:$U$53</definedName>
    <definedName name="Demand_Week1">Coverage!$C$6:$C$53,Coverage!$F$6:$F$53,Coverage!$I$6:$I$53,Coverage!$L$6:$L$53,Coverage!$O$6:$O$53,Coverage!$R$6:$R$53,Coverage!$U$6:$U$53</definedName>
    <definedName name="lstHalfHours" localSheetId="5">Utility!$B$5:$B$52</definedName>
    <definedName name="lstHalfHours">Utility!$B$5:$B$52</definedName>
    <definedName name="Nurse_Labels" localSheetId="5">Utility!$J$9:$K$28</definedName>
    <definedName name="Nurse_Labels">Utility!$J$9:$K$28</definedName>
    <definedName name="_xlnm.Print_Area" localSheetId="2">Coverage!$B$1:$W$57</definedName>
    <definedName name="_xlnm.Print_Area" localSheetId="3">Coverage_Hourly!$B$1:$W$33</definedName>
    <definedName name="_xlnm.Print_Area" localSheetId="1">Tour!$A$6:$BK$32</definedName>
    <definedName name="_xlnm.Print_Titles" localSheetId="1">Tour!$1:$5</definedName>
    <definedName name="SelectedHalfHour" localSheetId="5">Utility!$D$6</definedName>
    <definedName name="SelectedHalfHour">Utility!$D$6</definedName>
    <definedName name="Tour_TT">Tour!$B$6:$B$71</definedName>
    <definedName name="Tour_Type_Labels" localSheetId="5">Utility!$G$9:$H$28</definedName>
    <definedName name="Tour_Type_Labels">Utility!$G$9:$H$28</definedName>
    <definedName name="Tour_Type_SchedHours">Utility!$M$9:$O$28</definedName>
    <definedName name="Tour_Week1">Tour!$S$6:$AM$71</definedName>
    <definedName name="Tour_Week2">Tour!$AO$6:$BI$71</definedName>
    <definedName name="TourBottom_Week1">Tour!$S$72</definedName>
    <definedName name="TourBottom_Week2">Tour!$AO$72</definedName>
    <definedName name="TourStyle">Utility!$I$4:$AC$4</definedName>
    <definedName name="TourTop_TT">Tour!$B$5</definedName>
    <definedName name="TourTop_Week1">Tour!$S$5</definedName>
    <definedName name="TourTop_Week2">Tour!$AO$5</definedName>
    <definedName name="WeekendMidnightThreshold">Utility!$T$8</definedName>
  </definedNames>
  <calcPr calcId="144525"/>
  <pivotCaches>
    <pivotCache cacheId="12" r:id="rId8"/>
    <pivotCache cacheId="21" r:id="rId9"/>
  </pivotCaches>
</workbook>
</file>

<file path=xl/calcChain.xml><?xml version="1.0" encoding="utf-8"?>
<calcChain xmlns="http://schemas.openxmlformats.org/spreadsheetml/2006/main">
  <c r="AP53" i="6" l="1"/>
  <c r="AP52" i="6"/>
  <c r="AR52" i="6" s="1"/>
  <c r="AP51" i="6"/>
  <c r="AP50" i="6"/>
  <c r="AP49" i="6"/>
  <c r="AR49" i="6" s="1"/>
  <c r="AP48" i="6"/>
  <c r="AR48" i="6" s="1"/>
  <c r="AP47" i="6"/>
  <c r="AP46" i="6"/>
  <c r="AP26" i="7" s="1"/>
  <c r="AP45" i="6"/>
  <c r="AP44" i="6"/>
  <c r="AR44" i="6" s="1"/>
  <c r="AP43" i="6"/>
  <c r="AR43" i="6" s="1"/>
  <c r="AP42" i="6"/>
  <c r="AR42" i="6" s="1"/>
  <c r="AP41" i="6"/>
  <c r="AP40" i="6"/>
  <c r="AP23" i="7" s="1"/>
  <c r="AP39" i="6"/>
  <c r="AR39" i="6" s="1"/>
  <c r="AP38" i="6"/>
  <c r="AR38" i="6" s="1"/>
  <c r="AP37" i="6"/>
  <c r="AP36" i="6"/>
  <c r="AR36" i="6" s="1"/>
  <c r="AP35" i="6"/>
  <c r="AR35" i="6" s="1"/>
  <c r="AP34" i="6"/>
  <c r="AR34" i="6" s="1"/>
  <c r="AP33" i="6"/>
  <c r="AR33" i="6" s="1"/>
  <c r="AP32" i="6"/>
  <c r="AR32" i="6" s="1"/>
  <c r="AP31" i="6"/>
  <c r="AP30" i="6"/>
  <c r="AR30" i="6" s="1"/>
  <c r="AP29" i="6"/>
  <c r="AP28" i="6"/>
  <c r="AR28" i="6" s="1"/>
  <c r="AP27" i="6"/>
  <c r="AR27" i="6" s="1"/>
  <c r="AP26" i="6"/>
  <c r="AR26" i="6" s="1"/>
  <c r="AP25" i="6"/>
  <c r="AR25" i="6" s="1"/>
  <c r="AP24" i="6"/>
  <c r="AR24" i="6" s="1"/>
  <c r="AP23" i="6"/>
  <c r="AR23" i="6" s="1"/>
  <c r="AP22" i="6"/>
  <c r="AP21" i="6"/>
  <c r="AP20" i="6"/>
  <c r="AR20" i="6" s="1"/>
  <c r="AP19" i="6"/>
  <c r="AP18" i="6"/>
  <c r="AR18" i="6" s="1"/>
  <c r="AP17" i="6"/>
  <c r="AR17" i="6" s="1"/>
  <c r="AP16" i="6"/>
  <c r="AR16" i="6" s="1"/>
  <c r="AP15" i="6"/>
  <c r="AR15" i="6" s="1"/>
  <c r="AP14" i="6"/>
  <c r="AR14" i="6" s="1"/>
  <c r="AP13" i="6"/>
  <c r="AP12" i="6"/>
  <c r="AR12" i="6" s="1"/>
  <c r="AP11" i="6"/>
  <c r="AR11" i="6" s="1"/>
  <c r="AP10" i="6"/>
  <c r="AP8" i="7" s="1"/>
  <c r="AP9" i="6"/>
  <c r="AP8" i="6"/>
  <c r="AP7" i="6"/>
  <c r="AR7" i="6" s="1"/>
  <c r="AP6" i="6"/>
  <c r="AP6" i="7" s="1"/>
  <c r="AM53" i="6"/>
  <c r="AM52" i="6"/>
  <c r="AO52" i="6" s="1"/>
  <c r="AM51" i="6"/>
  <c r="AO51" i="6" s="1"/>
  <c r="AM50" i="6"/>
  <c r="AO50" i="6" s="1"/>
  <c r="AM49" i="6"/>
  <c r="AO49" i="6" s="1"/>
  <c r="AM48" i="6"/>
  <c r="AO48" i="6" s="1"/>
  <c r="AM47" i="6"/>
  <c r="AM46" i="6"/>
  <c r="AO46" i="6" s="1"/>
  <c r="AM45" i="6"/>
  <c r="AM44" i="6"/>
  <c r="AO44" i="6" s="1"/>
  <c r="AM43" i="6"/>
  <c r="AO43" i="6" s="1"/>
  <c r="AM42" i="6"/>
  <c r="AM41" i="6"/>
  <c r="AO41" i="6" s="1"/>
  <c r="AM40" i="6"/>
  <c r="AO40" i="6" s="1"/>
  <c r="AM39" i="6"/>
  <c r="AM38" i="6"/>
  <c r="AO38" i="6" s="1"/>
  <c r="AM37" i="6"/>
  <c r="AO37" i="6" s="1"/>
  <c r="AM36" i="6"/>
  <c r="AM35" i="6"/>
  <c r="AO35" i="6" s="1"/>
  <c r="AM34" i="6"/>
  <c r="AO34" i="6" s="1"/>
  <c r="AM33" i="6"/>
  <c r="AO33" i="6" s="1"/>
  <c r="AM32" i="6"/>
  <c r="AO32" i="6" s="1"/>
  <c r="AM31" i="6"/>
  <c r="AM30" i="6"/>
  <c r="AM18" i="7" s="1"/>
  <c r="AM29" i="6"/>
  <c r="AM28" i="6"/>
  <c r="AO28" i="6" s="1"/>
  <c r="AM27" i="6"/>
  <c r="AM26" i="6"/>
  <c r="AO26" i="6" s="1"/>
  <c r="AM25" i="6"/>
  <c r="AO25" i="6" s="1"/>
  <c r="AM24" i="6"/>
  <c r="AO24" i="6" s="1"/>
  <c r="AM23" i="6"/>
  <c r="AM22" i="6"/>
  <c r="AM21" i="6"/>
  <c r="AM20" i="6"/>
  <c r="AO20" i="6" s="1"/>
  <c r="AM19" i="6"/>
  <c r="AM18" i="6"/>
  <c r="AO18" i="6" s="1"/>
  <c r="AM17" i="6"/>
  <c r="AO17" i="6" s="1"/>
  <c r="AM16" i="6"/>
  <c r="AM11" i="7" s="1"/>
  <c r="AM15" i="6"/>
  <c r="AM14" i="6"/>
  <c r="AO14" i="6" s="1"/>
  <c r="AM13" i="6"/>
  <c r="AM12" i="6"/>
  <c r="AO12" i="6" s="1"/>
  <c r="AM11" i="6"/>
  <c r="AM10" i="6"/>
  <c r="AO10" i="6" s="1"/>
  <c r="AM9" i="6"/>
  <c r="AO9" i="6" s="1"/>
  <c r="AM8" i="6"/>
  <c r="AO8" i="6" s="1"/>
  <c r="AM7" i="6"/>
  <c r="AO7" i="6" s="1"/>
  <c r="AM6" i="6"/>
  <c r="AJ53" i="6"/>
  <c r="AJ52" i="6"/>
  <c r="AJ51" i="6"/>
  <c r="AL51" i="6" s="1"/>
  <c r="AJ50" i="6"/>
  <c r="AL50" i="6" s="1"/>
  <c r="AJ49" i="6"/>
  <c r="AL49" i="6" s="1"/>
  <c r="AJ48" i="6"/>
  <c r="AJ27" i="7" s="1"/>
  <c r="AJ47" i="6"/>
  <c r="AL47" i="6" s="1"/>
  <c r="AJ46" i="6"/>
  <c r="AJ45" i="6"/>
  <c r="AJ44" i="6"/>
  <c r="AJ43" i="6"/>
  <c r="AL43" i="6" s="1"/>
  <c r="AJ42" i="6"/>
  <c r="AL42" i="6" s="1"/>
  <c r="AJ41" i="6"/>
  <c r="AL41" i="6" s="1"/>
  <c r="AJ40" i="6"/>
  <c r="AJ23" i="7" s="1"/>
  <c r="AJ39" i="6"/>
  <c r="AL39" i="6" s="1"/>
  <c r="AJ38" i="6"/>
  <c r="AJ37" i="6"/>
  <c r="AJ36" i="6"/>
  <c r="AL36" i="6" s="1"/>
  <c r="AJ35" i="6"/>
  <c r="AJ34" i="6"/>
  <c r="AL34" i="6" s="1"/>
  <c r="AJ33" i="6"/>
  <c r="AJ32" i="6"/>
  <c r="AL32" i="6" s="1"/>
  <c r="AJ31" i="6"/>
  <c r="AL31" i="6" s="1"/>
  <c r="AJ30" i="6"/>
  <c r="AJ29" i="6"/>
  <c r="AJ28" i="6"/>
  <c r="AL28" i="6" s="1"/>
  <c r="AJ27" i="6"/>
  <c r="AL27" i="6" s="1"/>
  <c r="AJ26" i="6"/>
  <c r="AL26" i="6" s="1"/>
  <c r="AJ25" i="6"/>
  <c r="AL25" i="6" s="1"/>
  <c r="AJ24" i="6"/>
  <c r="AL24" i="6" s="1"/>
  <c r="AJ23" i="6"/>
  <c r="AJ22" i="6"/>
  <c r="AJ14" i="7" s="1"/>
  <c r="AJ21" i="6"/>
  <c r="AJ20" i="6"/>
  <c r="AL20" i="6" s="1"/>
  <c r="AJ19" i="6"/>
  <c r="AJ18" i="6"/>
  <c r="AJ17" i="6"/>
  <c r="AL17" i="6" s="1"/>
  <c r="AJ16" i="6"/>
  <c r="AL16" i="6" s="1"/>
  <c r="AJ15" i="6"/>
  <c r="AJ14" i="6"/>
  <c r="AL14" i="6" s="1"/>
  <c r="AJ13" i="6"/>
  <c r="AJ12" i="6"/>
  <c r="AJ11" i="6"/>
  <c r="AL11" i="6" s="1"/>
  <c r="AJ10" i="6"/>
  <c r="AJ9" i="6"/>
  <c r="AL9" i="6" s="1"/>
  <c r="AJ8" i="6"/>
  <c r="AL8" i="6" s="1"/>
  <c r="AJ7" i="6"/>
  <c r="AJ6" i="6"/>
  <c r="AJ6" i="7" s="1"/>
  <c r="AG53" i="6"/>
  <c r="AI53" i="6" s="1"/>
  <c r="AG52" i="6"/>
  <c r="AI52" i="6" s="1"/>
  <c r="AG51" i="6"/>
  <c r="AI51" i="6" s="1"/>
  <c r="AG50" i="6"/>
  <c r="AG28" i="7" s="1"/>
  <c r="AG49" i="6"/>
  <c r="AG48" i="6"/>
  <c r="AI48" i="6" s="1"/>
  <c r="AG47" i="6"/>
  <c r="AI47" i="6" s="1"/>
  <c r="AG46" i="6"/>
  <c r="AG26" i="7" s="1"/>
  <c r="AG45" i="6"/>
  <c r="AI45" i="6" s="1"/>
  <c r="AG44" i="6"/>
  <c r="AI44" i="6" s="1"/>
  <c r="AG43" i="6"/>
  <c r="AG42" i="6"/>
  <c r="AI42" i="6" s="1"/>
  <c r="AG41" i="6"/>
  <c r="AG40" i="6"/>
  <c r="AI40" i="6" s="1"/>
  <c r="AG39" i="6"/>
  <c r="AG38" i="6"/>
  <c r="AI38" i="6" s="1"/>
  <c r="AG37" i="6"/>
  <c r="AG36" i="6"/>
  <c r="AI36" i="6" s="1"/>
  <c r="AG35" i="6"/>
  <c r="AG34" i="6"/>
  <c r="AI34" i="6" s="1"/>
  <c r="AG33" i="6"/>
  <c r="AI33" i="6" s="1"/>
  <c r="AG32" i="6"/>
  <c r="AG19" i="7" s="1"/>
  <c r="AG31" i="6"/>
  <c r="AI31" i="6" s="1"/>
  <c r="AG30" i="6"/>
  <c r="AG18" i="7" s="1"/>
  <c r="AG29" i="6"/>
  <c r="AG28" i="6"/>
  <c r="AI28" i="6" s="1"/>
  <c r="AG27" i="6"/>
  <c r="AI27" i="6" s="1"/>
  <c r="AG26" i="6"/>
  <c r="AI26" i="6" s="1"/>
  <c r="AG25" i="6"/>
  <c r="AI25" i="6" s="1"/>
  <c r="AG24" i="6"/>
  <c r="AI24" i="6" s="1"/>
  <c r="AG23" i="6"/>
  <c r="AG22" i="6"/>
  <c r="AG21" i="6"/>
  <c r="AG20" i="6"/>
  <c r="AI20" i="6" s="1"/>
  <c r="AG19" i="6"/>
  <c r="AI19" i="6" s="1"/>
  <c r="AG18" i="6"/>
  <c r="AG12" i="7" s="1"/>
  <c r="AG17" i="6"/>
  <c r="AI17" i="6" s="1"/>
  <c r="AG16" i="6"/>
  <c r="AI16" i="6" s="1"/>
  <c r="AG15" i="6"/>
  <c r="AG14" i="6"/>
  <c r="AI14" i="6" s="1"/>
  <c r="AG13" i="6"/>
  <c r="AG12" i="6"/>
  <c r="AI12" i="6" s="1"/>
  <c r="AG11" i="6"/>
  <c r="AI11" i="6" s="1"/>
  <c r="AG10" i="6"/>
  <c r="AI10" i="6" s="1"/>
  <c r="AG9" i="6"/>
  <c r="AI9" i="6" s="1"/>
  <c r="AG8" i="6"/>
  <c r="AI8" i="6" s="1"/>
  <c r="AG7" i="6"/>
  <c r="AG6" i="6"/>
  <c r="AG6" i="7" s="1"/>
  <c r="AD53" i="6"/>
  <c r="AD52" i="6"/>
  <c r="AF52" i="6" s="1"/>
  <c r="AD51" i="6"/>
  <c r="AD50" i="6"/>
  <c r="AF50" i="6" s="1"/>
  <c r="AD49" i="6"/>
  <c r="AF49" i="6" s="1"/>
  <c r="AD48" i="6"/>
  <c r="AF48" i="6" s="1"/>
  <c r="AD47" i="6"/>
  <c r="AD46" i="6"/>
  <c r="AF46" i="6" s="1"/>
  <c r="AD45" i="6"/>
  <c r="AD44" i="6"/>
  <c r="AF44" i="6" s="1"/>
  <c r="AD43" i="6"/>
  <c r="AD42" i="6"/>
  <c r="AF42" i="6" s="1"/>
  <c r="AD41" i="6"/>
  <c r="AF41" i="6" s="1"/>
  <c r="AD40" i="6"/>
  <c r="AF40" i="6" s="1"/>
  <c r="AD39" i="6"/>
  <c r="AD38" i="6"/>
  <c r="AD37" i="6"/>
  <c r="AD36" i="6"/>
  <c r="AF36" i="6" s="1"/>
  <c r="AD35" i="6"/>
  <c r="AD34" i="6"/>
  <c r="AD33" i="6"/>
  <c r="AD32" i="6"/>
  <c r="AF32" i="6" s="1"/>
  <c r="AD31" i="6"/>
  <c r="AD30" i="6"/>
  <c r="AF30" i="6" s="1"/>
  <c r="AD29" i="6"/>
  <c r="AD28" i="6"/>
  <c r="AD27" i="6"/>
  <c r="AF27" i="6" s="1"/>
  <c r="AD26" i="6"/>
  <c r="AF26" i="6" s="1"/>
  <c r="AD25" i="6"/>
  <c r="AF25" i="6" s="1"/>
  <c r="AD24" i="6"/>
  <c r="AF24" i="6" s="1"/>
  <c r="AD23" i="6"/>
  <c r="AD22" i="6"/>
  <c r="AD21" i="6"/>
  <c r="AD20" i="6"/>
  <c r="AF20" i="6" s="1"/>
  <c r="AD19" i="6"/>
  <c r="AD18" i="6"/>
  <c r="AF18" i="6" s="1"/>
  <c r="AD17" i="6"/>
  <c r="AF17" i="6" s="1"/>
  <c r="AD16" i="6"/>
  <c r="AF16" i="6" s="1"/>
  <c r="AD15" i="6"/>
  <c r="AD14" i="6"/>
  <c r="AD10" i="7" s="1"/>
  <c r="AD13" i="6"/>
  <c r="AF13" i="6" s="1"/>
  <c r="AD12" i="6"/>
  <c r="AF12" i="6" s="1"/>
  <c r="AD11" i="6"/>
  <c r="AD10" i="6"/>
  <c r="AF10" i="6" s="1"/>
  <c r="AD9" i="6"/>
  <c r="AF9" i="6" s="1"/>
  <c r="AD8" i="6"/>
  <c r="AF8" i="6" s="1"/>
  <c r="AD7" i="6"/>
  <c r="AF7" i="6" s="1"/>
  <c r="AD6" i="6"/>
  <c r="AA53" i="6"/>
  <c r="AC53" i="6" s="1"/>
  <c r="AA52" i="6"/>
  <c r="AC52" i="6" s="1"/>
  <c r="AA51" i="6"/>
  <c r="AC51" i="6" s="1"/>
  <c r="AA50" i="6"/>
  <c r="AC50" i="6" s="1"/>
  <c r="AA49" i="6"/>
  <c r="AC49" i="6" s="1"/>
  <c r="AA48" i="6"/>
  <c r="AC48" i="6" s="1"/>
  <c r="AA47" i="6"/>
  <c r="AA46" i="6"/>
  <c r="AA45" i="6"/>
  <c r="AC45" i="6" s="1"/>
  <c r="AA44" i="6"/>
  <c r="AC44" i="6" s="1"/>
  <c r="AA43" i="6"/>
  <c r="AA42" i="6"/>
  <c r="AA24" i="7" s="1"/>
  <c r="AA41" i="6"/>
  <c r="AC41" i="6" s="1"/>
  <c r="AA40" i="6"/>
  <c r="AC40" i="6" s="1"/>
  <c r="AA39" i="6"/>
  <c r="AA38" i="6"/>
  <c r="AC38" i="6" s="1"/>
  <c r="AA37" i="6"/>
  <c r="AC37" i="6" s="1"/>
  <c r="AA36" i="6"/>
  <c r="AC36" i="6" s="1"/>
  <c r="AA35" i="6"/>
  <c r="AC35" i="6" s="1"/>
  <c r="AA34" i="6"/>
  <c r="AC34" i="6" s="1"/>
  <c r="AA33" i="6"/>
  <c r="AC33" i="6" s="1"/>
  <c r="AA32" i="6"/>
  <c r="AC32" i="6" s="1"/>
  <c r="AA31" i="6"/>
  <c r="AC31" i="6" s="1"/>
  <c r="AA30" i="6"/>
  <c r="AC30" i="6" s="1"/>
  <c r="AA29" i="6"/>
  <c r="AA28" i="6"/>
  <c r="AC28" i="6" s="1"/>
  <c r="AA27" i="6"/>
  <c r="AC27" i="6" s="1"/>
  <c r="AA26" i="6"/>
  <c r="AC26" i="6" s="1"/>
  <c r="AA25" i="6"/>
  <c r="AC25" i="6" s="1"/>
  <c r="AA24" i="6"/>
  <c r="AC24" i="6" s="1"/>
  <c r="AA23" i="6"/>
  <c r="AA22" i="6"/>
  <c r="AA14" i="7" s="1"/>
  <c r="AA21" i="6"/>
  <c r="AA20" i="6"/>
  <c r="AC20" i="6" s="1"/>
  <c r="AA19" i="6"/>
  <c r="AC19" i="6" s="1"/>
  <c r="AA18" i="6"/>
  <c r="AC18" i="6" s="1"/>
  <c r="AA17" i="6"/>
  <c r="AC17" i="6" s="1"/>
  <c r="AA16" i="6"/>
  <c r="AC16" i="6" s="1"/>
  <c r="AA15" i="6"/>
  <c r="AC15" i="6" s="1"/>
  <c r="AA14" i="6"/>
  <c r="AC14" i="6" s="1"/>
  <c r="AA13" i="6"/>
  <c r="AA12" i="6"/>
  <c r="AC12" i="6" s="1"/>
  <c r="AA11" i="6"/>
  <c r="AA10" i="6"/>
  <c r="AC10" i="6" s="1"/>
  <c r="AA9" i="6"/>
  <c r="AC9" i="6" s="1"/>
  <c r="AA8" i="6"/>
  <c r="AC8" i="6" s="1"/>
  <c r="AA7" i="6"/>
  <c r="AC7" i="6" s="1"/>
  <c r="AA6" i="6"/>
  <c r="X53" i="6"/>
  <c r="Z53" i="6" s="1"/>
  <c r="X52" i="6"/>
  <c r="Z52" i="6" s="1"/>
  <c r="X51" i="6"/>
  <c r="Z51" i="6" s="1"/>
  <c r="X50" i="6"/>
  <c r="Z50" i="6" s="1"/>
  <c r="X49" i="6"/>
  <c r="Z49" i="6" s="1"/>
  <c r="X48" i="6"/>
  <c r="Z48" i="6" s="1"/>
  <c r="X47" i="6"/>
  <c r="Z47" i="6" s="1"/>
  <c r="X46" i="6"/>
  <c r="Z46" i="6" s="1"/>
  <c r="X45" i="6"/>
  <c r="Z45" i="6" s="1"/>
  <c r="X44" i="6"/>
  <c r="Z44" i="6" s="1"/>
  <c r="X43" i="6"/>
  <c r="Z43" i="6"/>
  <c r="X42" i="6"/>
  <c r="X24" i="7" s="1"/>
  <c r="X41" i="6"/>
  <c r="Z41" i="6" s="1"/>
  <c r="X40" i="6"/>
  <c r="X39" i="6"/>
  <c r="Z39" i="6" s="1"/>
  <c r="X38" i="6"/>
  <c r="X37" i="6"/>
  <c r="Z37" i="6" s="1"/>
  <c r="X36" i="6"/>
  <c r="Z36" i="6" s="1"/>
  <c r="X35" i="6"/>
  <c r="Z35" i="6" s="1"/>
  <c r="X34" i="6"/>
  <c r="X20" i="7" s="1"/>
  <c r="X33" i="6"/>
  <c r="Z33" i="6" s="1"/>
  <c r="X32" i="6"/>
  <c r="X19" i="7" s="1"/>
  <c r="X31" i="6"/>
  <c r="Z31" i="6" s="1"/>
  <c r="X30" i="6"/>
  <c r="X29" i="6"/>
  <c r="Z29" i="6" s="1"/>
  <c r="X28" i="6"/>
  <c r="Z28" i="6" s="1"/>
  <c r="X27" i="6"/>
  <c r="Z27" i="6" s="1"/>
  <c r="X26" i="6"/>
  <c r="Z26" i="6" s="1"/>
  <c r="X25" i="6"/>
  <c r="Z25" i="6" s="1"/>
  <c r="X24" i="6"/>
  <c r="X23" i="6"/>
  <c r="Z23" i="6" s="1"/>
  <c r="X22" i="6"/>
  <c r="X21" i="6"/>
  <c r="Z21" i="6" s="1"/>
  <c r="X20" i="6"/>
  <c r="Z20" i="6" s="1"/>
  <c r="X19" i="6"/>
  <c r="Z19" i="6" s="1"/>
  <c r="X18" i="6"/>
  <c r="Z18" i="6" s="1"/>
  <c r="X17" i="6"/>
  <c r="Z17" i="6" s="1"/>
  <c r="X16" i="6"/>
  <c r="X15" i="6"/>
  <c r="Z15" i="6" s="1"/>
  <c r="X14" i="6"/>
  <c r="Z14" i="6" s="1"/>
  <c r="X13" i="6"/>
  <c r="Z13" i="6" s="1"/>
  <c r="X12" i="6"/>
  <c r="X11" i="6"/>
  <c r="Z11" i="6" s="1"/>
  <c r="X10" i="6"/>
  <c r="Z10" i="6" s="1"/>
  <c r="X9" i="6"/>
  <c r="Z9" i="6" s="1"/>
  <c r="X8" i="6"/>
  <c r="Z8" i="6" s="1"/>
  <c r="X7" i="6"/>
  <c r="Z7" i="6" s="1"/>
  <c r="X6" i="6"/>
  <c r="AQ54" i="6"/>
  <c r="AN54" i="6"/>
  <c r="AK54" i="6"/>
  <c r="AH54" i="6"/>
  <c r="AE54" i="6"/>
  <c r="AB54" i="6"/>
  <c r="Y54" i="6"/>
  <c r="AR53" i="6"/>
  <c r="AO53" i="6"/>
  <c r="AL53" i="6"/>
  <c r="AF53" i="6"/>
  <c r="AL52" i="6"/>
  <c r="AR51" i="6"/>
  <c r="AF51" i="6"/>
  <c r="AR50" i="6"/>
  <c r="AI49" i="6"/>
  <c r="AL48" i="6"/>
  <c r="AR47" i="6"/>
  <c r="AO47" i="6"/>
  <c r="AF47" i="6"/>
  <c r="AC47" i="6"/>
  <c r="AR46" i="6"/>
  <c r="AL46" i="6"/>
  <c r="AI46" i="6"/>
  <c r="AC46" i="6"/>
  <c r="AR45" i="6"/>
  <c r="AO45" i="6"/>
  <c r="AL45" i="6"/>
  <c r="AF45" i="6"/>
  <c r="AL44" i="6"/>
  <c r="AI43" i="6"/>
  <c r="AF43" i="6"/>
  <c r="AC43" i="6"/>
  <c r="AO42" i="6"/>
  <c r="AR41" i="6"/>
  <c r="AI41" i="6"/>
  <c r="Z40" i="6"/>
  <c r="AO39" i="6"/>
  <c r="AI39" i="6"/>
  <c r="AF39" i="6"/>
  <c r="AC39" i="6"/>
  <c r="AL38" i="6"/>
  <c r="AF38" i="6"/>
  <c r="Z38" i="6"/>
  <c r="AR37" i="6"/>
  <c r="AL37" i="6"/>
  <c r="AI37" i="6"/>
  <c r="AF37" i="6"/>
  <c r="AO36" i="6"/>
  <c r="AL35" i="6"/>
  <c r="AI35" i="6"/>
  <c r="AF35" i="6"/>
  <c r="AF34" i="6"/>
  <c r="Z34" i="6"/>
  <c r="AL33" i="6"/>
  <c r="AF33" i="6"/>
  <c r="AR31" i="6"/>
  <c r="AO31" i="6"/>
  <c r="AF31" i="6"/>
  <c r="AO30" i="6"/>
  <c r="AL30" i="6"/>
  <c r="AI30" i="6"/>
  <c r="Z30" i="6"/>
  <c r="AR29" i="6"/>
  <c r="AO29" i="6"/>
  <c r="AL29" i="6"/>
  <c r="AI29" i="6"/>
  <c r="AF29" i="6"/>
  <c r="AC29" i="6"/>
  <c r="AF28" i="6"/>
  <c r="AO27" i="6"/>
  <c r="Z24" i="6"/>
  <c r="AO23" i="6"/>
  <c r="AL23" i="6"/>
  <c r="AI23" i="6"/>
  <c r="AF23" i="6"/>
  <c r="AC23" i="6"/>
  <c r="AR22" i="6"/>
  <c r="AO22" i="6"/>
  <c r="AL22" i="6"/>
  <c r="AI22" i="6"/>
  <c r="AF22" i="6"/>
  <c r="AC22" i="6"/>
  <c r="Z22" i="6"/>
  <c r="AR21" i="6"/>
  <c r="AO21" i="6"/>
  <c r="AL21" i="6"/>
  <c r="AI21" i="6"/>
  <c r="AF21" i="6"/>
  <c r="AC21" i="6"/>
  <c r="AR19" i="6"/>
  <c r="AO19" i="6"/>
  <c r="AL19" i="6"/>
  <c r="AF19" i="6"/>
  <c r="AL18" i="6"/>
  <c r="AI18" i="6"/>
  <c r="Z16" i="6"/>
  <c r="AO15" i="6"/>
  <c r="AL15" i="6"/>
  <c r="AI15" i="6"/>
  <c r="AF15" i="6"/>
  <c r="AR13" i="6"/>
  <c r="AO13" i="6"/>
  <c r="AL13" i="6"/>
  <c r="AI13" i="6"/>
  <c r="AC13" i="6"/>
  <c r="AL12" i="6"/>
  <c r="Z12" i="6"/>
  <c r="AF11" i="6"/>
  <c r="AC11" i="6"/>
  <c r="AR10" i="6"/>
  <c r="AL10" i="6"/>
  <c r="AR9" i="6"/>
  <c r="AL7" i="6"/>
  <c r="AI7" i="6"/>
  <c r="AO6" i="6"/>
  <c r="AL6" i="6"/>
  <c r="AC6" i="6"/>
  <c r="Z6" i="6"/>
  <c r="C54" i="6"/>
  <c r="D54" i="6"/>
  <c r="G54" i="6"/>
  <c r="J54" i="6"/>
  <c r="M54" i="6"/>
  <c r="P54" i="6"/>
  <c r="S54" i="6"/>
  <c r="V54" i="6"/>
  <c r="F54" i="6"/>
  <c r="I54" i="6"/>
  <c r="L54" i="6"/>
  <c r="O54" i="6"/>
  <c r="R54" i="6"/>
  <c r="U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T53" i="6"/>
  <c r="T52" i="6"/>
  <c r="T51" i="6"/>
  <c r="T50" i="6"/>
  <c r="T49" i="6"/>
  <c r="T48" i="6"/>
  <c r="T47" i="6"/>
  <c r="T46" i="6"/>
  <c r="T45" i="6"/>
  <c r="T44" i="6"/>
  <c r="T43" i="6"/>
  <c r="T42" i="6"/>
  <c r="T41" i="6"/>
  <c r="T40" i="6"/>
  <c r="T39" i="6"/>
  <c r="T38" i="6"/>
  <c r="T37" i="6"/>
  <c r="T36" i="6"/>
  <c r="T35" i="6"/>
  <c r="T34" i="6"/>
  <c r="T33" i="6"/>
  <c r="T32" i="6"/>
  <c r="T31" i="6"/>
  <c r="T30" i="6"/>
  <c r="T29" i="6"/>
  <c r="T28" i="6"/>
  <c r="T27" i="6"/>
  <c r="T26" i="6"/>
  <c r="T25" i="6"/>
  <c r="T24" i="6"/>
  <c r="T23" i="6"/>
  <c r="T22" i="6"/>
  <c r="T21" i="6"/>
  <c r="T20" i="6"/>
  <c r="T19" i="6"/>
  <c r="T18" i="6"/>
  <c r="T17" i="6"/>
  <c r="T16" i="6"/>
  <c r="T15" i="6"/>
  <c r="T14" i="6"/>
  <c r="T13" i="6"/>
  <c r="T12" i="6"/>
  <c r="T11" i="6"/>
  <c r="T10" i="6"/>
  <c r="T9" i="6"/>
  <c r="T8" i="6"/>
  <c r="T7" i="6"/>
  <c r="T6" i="6"/>
  <c r="Q53" i="6"/>
  <c r="Q52" i="6"/>
  <c r="Q51" i="6"/>
  <c r="Q50" i="6"/>
  <c r="Q49" i="6"/>
  <c r="Q48" i="6"/>
  <c r="Q47" i="6"/>
  <c r="Q46" i="6"/>
  <c r="Q45" i="6"/>
  <c r="Q44" i="6"/>
  <c r="Q43" i="6"/>
  <c r="Q42" i="6"/>
  <c r="Q41" i="6"/>
  <c r="Q40" i="6"/>
  <c r="Q39" i="6"/>
  <c r="Q38" i="6"/>
  <c r="Q37" i="6"/>
  <c r="Q36" i="6"/>
  <c r="Q35" i="6"/>
  <c r="Q34" i="6"/>
  <c r="Q33" i="6"/>
  <c r="Q32" i="6"/>
  <c r="Q31" i="6"/>
  <c r="Q30" i="6"/>
  <c r="Q29" i="6"/>
  <c r="Q28" i="6"/>
  <c r="Q27" i="6"/>
  <c r="Q26" i="6"/>
  <c r="Q25" i="6"/>
  <c r="Q24" i="6"/>
  <c r="Q23" i="6"/>
  <c r="Q22" i="6"/>
  <c r="Q21" i="6"/>
  <c r="Q20" i="6"/>
  <c r="Q19" i="6"/>
  <c r="Q18" i="6"/>
  <c r="Q17" i="6"/>
  <c r="Q16" i="6"/>
  <c r="Q15" i="6"/>
  <c r="Q14" i="6"/>
  <c r="Q13" i="6"/>
  <c r="Q12" i="6"/>
  <c r="Q11" i="6"/>
  <c r="Q10" i="6"/>
  <c r="Q9" i="6"/>
  <c r="Q8" i="6"/>
  <c r="Q7" i="6"/>
  <c r="Q6"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N12" i="6"/>
  <c r="N11" i="6"/>
  <c r="N10" i="6"/>
  <c r="N9" i="6"/>
  <c r="N8" i="6"/>
  <c r="N7" i="6"/>
  <c r="N6"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8" i="6"/>
  <c r="K7" i="6"/>
  <c r="K6"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1" i="7"/>
  <c r="X6" i="7"/>
  <c r="AQ29" i="7"/>
  <c r="AP29" i="7"/>
  <c r="AN29" i="7"/>
  <c r="AM29" i="7"/>
  <c r="AK29" i="7"/>
  <c r="AJ29" i="7"/>
  <c r="AH29" i="7"/>
  <c r="AG29" i="7"/>
  <c r="AE29" i="7"/>
  <c r="AD29" i="7"/>
  <c r="AB29" i="7"/>
  <c r="AA29" i="7"/>
  <c r="Y29" i="7"/>
  <c r="X29" i="7"/>
  <c r="AQ28" i="7"/>
  <c r="AP28" i="7"/>
  <c r="AN28" i="7"/>
  <c r="AK28" i="7"/>
  <c r="AJ28" i="7"/>
  <c r="AH28" i="7"/>
  <c r="AE28" i="7"/>
  <c r="AD28" i="7"/>
  <c r="AB28" i="7"/>
  <c r="Y28" i="7"/>
  <c r="AQ27" i="7"/>
  <c r="AN27" i="7"/>
  <c r="AK27" i="7"/>
  <c r="AH27" i="7"/>
  <c r="AE27" i="7"/>
  <c r="AB27" i="7"/>
  <c r="Y27" i="7"/>
  <c r="AQ26" i="7"/>
  <c r="AN26" i="7"/>
  <c r="AM26" i="7"/>
  <c r="AK26" i="7"/>
  <c r="AJ26" i="7"/>
  <c r="AH26" i="7"/>
  <c r="AE26" i="7"/>
  <c r="AB26" i="7"/>
  <c r="AA26" i="7"/>
  <c r="Y26" i="7"/>
  <c r="X26" i="7"/>
  <c r="AQ25" i="7"/>
  <c r="AP25" i="7"/>
  <c r="AN25" i="7"/>
  <c r="AM25" i="7"/>
  <c r="AK25" i="7"/>
  <c r="AJ25" i="7"/>
  <c r="AH25" i="7"/>
  <c r="AG25" i="7"/>
  <c r="AE25" i="7"/>
  <c r="AD25" i="7"/>
  <c r="AB25" i="7"/>
  <c r="AA25" i="7"/>
  <c r="Y25" i="7"/>
  <c r="X25" i="7"/>
  <c r="AQ24" i="7"/>
  <c r="AP24" i="7"/>
  <c r="AN24" i="7"/>
  <c r="AM24" i="7"/>
  <c r="AK24" i="7"/>
  <c r="AJ24" i="7"/>
  <c r="AH24" i="7"/>
  <c r="AG24" i="7"/>
  <c r="AE24" i="7"/>
  <c r="AB24" i="7"/>
  <c r="Y24" i="7"/>
  <c r="AQ23" i="7"/>
  <c r="AN23" i="7"/>
  <c r="AK23" i="7"/>
  <c r="AH23" i="7"/>
  <c r="AE23" i="7"/>
  <c r="AB23" i="7"/>
  <c r="Y23" i="7"/>
  <c r="X23" i="7"/>
  <c r="AQ22" i="7"/>
  <c r="AN22" i="7"/>
  <c r="AK22" i="7"/>
  <c r="AJ22" i="7"/>
  <c r="AH22" i="7"/>
  <c r="AG22" i="7"/>
  <c r="AE22" i="7"/>
  <c r="AD22" i="7"/>
  <c r="AB22" i="7"/>
  <c r="Y22" i="7"/>
  <c r="X22" i="7"/>
  <c r="AQ21" i="7"/>
  <c r="AP21" i="7"/>
  <c r="AN21" i="7"/>
  <c r="AM21" i="7"/>
  <c r="AK21" i="7"/>
  <c r="AJ21" i="7"/>
  <c r="AH21" i="7"/>
  <c r="AG21" i="7"/>
  <c r="AE21" i="7"/>
  <c r="AD21" i="7"/>
  <c r="AB21" i="7"/>
  <c r="AA21" i="7"/>
  <c r="Y21" i="7"/>
  <c r="X21" i="7"/>
  <c r="AQ20" i="7"/>
  <c r="AP20" i="7"/>
  <c r="AN20" i="7"/>
  <c r="AK20" i="7"/>
  <c r="AJ20" i="7"/>
  <c r="AH20" i="7"/>
  <c r="AE20" i="7"/>
  <c r="AD20" i="7"/>
  <c r="AB20" i="7"/>
  <c r="Y20" i="7"/>
  <c r="AQ19" i="7"/>
  <c r="AN19" i="7"/>
  <c r="AM19" i="7"/>
  <c r="AK19" i="7"/>
  <c r="AH19" i="7"/>
  <c r="AE19" i="7"/>
  <c r="AB19" i="7"/>
  <c r="Y19" i="7"/>
  <c r="AQ18" i="7"/>
  <c r="AN18" i="7"/>
  <c r="AK18" i="7"/>
  <c r="AJ18" i="7"/>
  <c r="AH18" i="7"/>
  <c r="AE18" i="7"/>
  <c r="AB18" i="7"/>
  <c r="Y18" i="7"/>
  <c r="X18" i="7"/>
  <c r="AQ17" i="7"/>
  <c r="AP17" i="7"/>
  <c r="AN17" i="7"/>
  <c r="AM17" i="7"/>
  <c r="AK17" i="7"/>
  <c r="AJ17" i="7"/>
  <c r="AH17" i="7"/>
  <c r="AG17" i="7"/>
  <c r="AE17" i="7"/>
  <c r="AD17" i="7"/>
  <c r="AB17" i="7"/>
  <c r="AA17" i="7"/>
  <c r="Y17" i="7"/>
  <c r="X17" i="7"/>
  <c r="AQ16" i="7"/>
  <c r="AP16" i="7"/>
  <c r="AN16" i="7"/>
  <c r="AM16" i="7"/>
  <c r="AK16" i="7"/>
  <c r="AJ16" i="7"/>
  <c r="AH16" i="7"/>
  <c r="AE16" i="7"/>
  <c r="AD16" i="7"/>
  <c r="AB16" i="7"/>
  <c r="AA16" i="7"/>
  <c r="Y16" i="7"/>
  <c r="X16" i="7"/>
  <c r="AQ15" i="7"/>
  <c r="AN15" i="7"/>
  <c r="AK15" i="7"/>
  <c r="AJ15" i="7"/>
  <c r="AH15" i="7"/>
  <c r="AE15" i="7"/>
  <c r="AB15" i="7"/>
  <c r="Y15" i="7"/>
  <c r="X15" i="7"/>
  <c r="AQ14" i="7"/>
  <c r="AP14" i="7"/>
  <c r="AN14" i="7"/>
  <c r="AM14" i="7"/>
  <c r="AK14" i="7"/>
  <c r="AH14" i="7"/>
  <c r="AG14" i="7"/>
  <c r="AE14" i="7"/>
  <c r="AD14" i="7"/>
  <c r="AB14" i="7"/>
  <c r="Y14" i="7"/>
  <c r="X14" i="7"/>
  <c r="AQ13" i="7"/>
  <c r="AP13" i="7"/>
  <c r="AN13" i="7"/>
  <c r="AM13" i="7"/>
  <c r="AK13" i="7"/>
  <c r="AJ13" i="7"/>
  <c r="AH13" i="7"/>
  <c r="AG13" i="7"/>
  <c r="AE13" i="7"/>
  <c r="AD13" i="7"/>
  <c r="AB13" i="7"/>
  <c r="AA13" i="7"/>
  <c r="Y13" i="7"/>
  <c r="X13" i="7"/>
  <c r="AQ12" i="7"/>
  <c r="AN12" i="7"/>
  <c r="AK12" i="7"/>
  <c r="AJ12" i="7"/>
  <c r="AH12" i="7"/>
  <c r="AE12" i="7"/>
  <c r="AD12" i="7"/>
  <c r="AB12" i="7"/>
  <c r="AA12" i="7"/>
  <c r="Y12" i="7"/>
  <c r="X12" i="7"/>
  <c r="AQ11" i="7"/>
  <c r="AN11" i="7"/>
  <c r="AK11" i="7"/>
  <c r="AH11" i="7"/>
  <c r="AE11" i="7"/>
  <c r="AB11" i="7"/>
  <c r="Y11" i="7"/>
  <c r="X11" i="7"/>
  <c r="AQ10" i="7"/>
  <c r="AN10" i="7"/>
  <c r="AM10" i="7"/>
  <c r="AK10" i="7"/>
  <c r="AJ10" i="7"/>
  <c r="AH10" i="7"/>
  <c r="AG10" i="7"/>
  <c r="AE10" i="7"/>
  <c r="AB10" i="7"/>
  <c r="AA10" i="7"/>
  <c r="Y10" i="7"/>
  <c r="X10" i="7"/>
  <c r="AQ9" i="7"/>
  <c r="AP9" i="7"/>
  <c r="AN9" i="7"/>
  <c r="AM9" i="7"/>
  <c r="AK9" i="7"/>
  <c r="AJ9" i="7"/>
  <c r="AH9" i="7"/>
  <c r="AG9" i="7"/>
  <c r="AE9" i="7"/>
  <c r="AD9" i="7"/>
  <c r="AB9" i="7"/>
  <c r="AA9" i="7"/>
  <c r="Y9" i="7"/>
  <c r="X9" i="7"/>
  <c r="AQ8" i="7"/>
  <c r="AN8" i="7"/>
  <c r="AK8" i="7"/>
  <c r="AJ8" i="7"/>
  <c r="AH8" i="7"/>
  <c r="AG8" i="7"/>
  <c r="AE8" i="7"/>
  <c r="AD8" i="7"/>
  <c r="AB8" i="7"/>
  <c r="Y8" i="7"/>
  <c r="AQ7" i="7"/>
  <c r="AP7" i="7"/>
  <c r="AN7" i="7"/>
  <c r="AK7" i="7"/>
  <c r="AJ7" i="7"/>
  <c r="AH7" i="7"/>
  <c r="AE7" i="7"/>
  <c r="AB7" i="7"/>
  <c r="Y7" i="7"/>
  <c r="X7" i="7"/>
  <c r="AQ6" i="7"/>
  <c r="AN6" i="7"/>
  <c r="AM6" i="7"/>
  <c r="AK6" i="7"/>
  <c r="AH6" i="7"/>
  <c r="AE6" i="7"/>
  <c r="AB6" i="7"/>
  <c r="AA6" i="7"/>
  <c r="Y6" i="7"/>
  <c r="V2" i="7"/>
  <c r="U2" i="7"/>
  <c r="F6" i="7"/>
  <c r="V29" i="7"/>
  <c r="U29" i="7"/>
  <c r="S29" i="7"/>
  <c r="R29" i="7"/>
  <c r="P29" i="7"/>
  <c r="O29" i="7"/>
  <c r="M29" i="7"/>
  <c r="L29" i="7"/>
  <c r="J29" i="7"/>
  <c r="I29" i="7"/>
  <c r="G29" i="7"/>
  <c r="F29" i="7"/>
  <c r="V28" i="7"/>
  <c r="U28" i="7"/>
  <c r="S28" i="7"/>
  <c r="R28" i="7"/>
  <c r="P28" i="7"/>
  <c r="O28" i="7"/>
  <c r="M28" i="7"/>
  <c r="L28" i="7"/>
  <c r="J28" i="7"/>
  <c r="I28" i="7"/>
  <c r="G28" i="7"/>
  <c r="F28" i="7"/>
  <c r="V27" i="7"/>
  <c r="U27" i="7"/>
  <c r="S27" i="7"/>
  <c r="R27" i="7"/>
  <c r="P27" i="7"/>
  <c r="O27" i="7"/>
  <c r="M27" i="7"/>
  <c r="L27" i="7"/>
  <c r="J27" i="7"/>
  <c r="I27" i="7"/>
  <c r="G27" i="7"/>
  <c r="F27" i="7"/>
  <c r="V26" i="7"/>
  <c r="U26" i="7"/>
  <c r="S26" i="7"/>
  <c r="R26" i="7"/>
  <c r="P26" i="7"/>
  <c r="O26" i="7"/>
  <c r="M26" i="7"/>
  <c r="L26" i="7"/>
  <c r="J26" i="7"/>
  <c r="I26" i="7"/>
  <c r="G26" i="7"/>
  <c r="F26" i="7"/>
  <c r="V25" i="7"/>
  <c r="U25" i="7"/>
  <c r="S25" i="7"/>
  <c r="R25" i="7"/>
  <c r="P25" i="7"/>
  <c r="O25" i="7"/>
  <c r="M25" i="7"/>
  <c r="L25" i="7"/>
  <c r="J25" i="7"/>
  <c r="I25" i="7"/>
  <c r="G25" i="7"/>
  <c r="F25" i="7"/>
  <c r="V24" i="7"/>
  <c r="U24" i="7"/>
  <c r="S24" i="7"/>
  <c r="R24" i="7"/>
  <c r="P24" i="7"/>
  <c r="O24" i="7"/>
  <c r="M24" i="7"/>
  <c r="L24" i="7"/>
  <c r="J24" i="7"/>
  <c r="I24" i="7"/>
  <c r="G24" i="7"/>
  <c r="F24" i="7"/>
  <c r="V23" i="7"/>
  <c r="U23" i="7"/>
  <c r="S23" i="7"/>
  <c r="R23" i="7"/>
  <c r="P23" i="7"/>
  <c r="O23" i="7"/>
  <c r="M23" i="7"/>
  <c r="L23" i="7"/>
  <c r="J23" i="7"/>
  <c r="I23" i="7"/>
  <c r="G23" i="7"/>
  <c r="F23" i="7"/>
  <c r="V22" i="7"/>
  <c r="U22" i="7"/>
  <c r="S22" i="7"/>
  <c r="R22" i="7"/>
  <c r="P22" i="7"/>
  <c r="O22" i="7"/>
  <c r="M22" i="7"/>
  <c r="L22" i="7"/>
  <c r="J22" i="7"/>
  <c r="I22" i="7"/>
  <c r="G22" i="7"/>
  <c r="F22" i="7"/>
  <c r="V21" i="7"/>
  <c r="U21" i="7"/>
  <c r="S21" i="7"/>
  <c r="R21" i="7"/>
  <c r="P21" i="7"/>
  <c r="O21" i="7"/>
  <c r="M21" i="7"/>
  <c r="L21" i="7"/>
  <c r="J21" i="7"/>
  <c r="I21" i="7"/>
  <c r="G21" i="7"/>
  <c r="F21" i="7"/>
  <c r="V20" i="7"/>
  <c r="U20" i="7"/>
  <c r="S20" i="7"/>
  <c r="R20" i="7"/>
  <c r="P20" i="7"/>
  <c r="O20" i="7"/>
  <c r="M20" i="7"/>
  <c r="L20" i="7"/>
  <c r="J20" i="7"/>
  <c r="I20" i="7"/>
  <c r="G20" i="7"/>
  <c r="F20" i="7"/>
  <c r="V19" i="7"/>
  <c r="U19" i="7"/>
  <c r="S19" i="7"/>
  <c r="R19" i="7"/>
  <c r="P19" i="7"/>
  <c r="O19" i="7"/>
  <c r="M19" i="7"/>
  <c r="L19" i="7"/>
  <c r="J19" i="7"/>
  <c r="I19" i="7"/>
  <c r="G19" i="7"/>
  <c r="F19" i="7"/>
  <c r="V18" i="7"/>
  <c r="U18" i="7"/>
  <c r="S18" i="7"/>
  <c r="R18" i="7"/>
  <c r="P18" i="7"/>
  <c r="O18" i="7"/>
  <c r="M18" i="7"/>
  <c r="L18" i="7"/>
  <c r="J18" i="7"/>
  <c r="I18" i="7"/>
  <c r="G18" i="7"/>
  <c r="F18" i="7"/>
  <c r="V17" i="7"/>
  <c r="U17" i="7"/>
  <c r="S17" i="7"/>
  <c r="R17" i="7"/>
  <c r="P17" i="7"/>
  <c r="O17" i="7"/>
  <c r="M17" i="7"/>
  <c r="L17" i="7"/>
  <c r="J17" i="7"/>
  <c r="I17" i="7"/>
  <c r="G17" i="7"/>
  <c r="F17" i="7"/>
  <c r="V16" i="7"/>
  <c r="U16" i="7"/>
  <c r="S16" i="7"/>
  <c r="R16" i="7"/>
  <c r="P16" i="7"/>
  <c r="O16" i="7"/>
  <c r="M16" i="7"/>
  <c r="L16" i="7"/>
  <c r="J16" i="7"/>
  <c r="I16" i="7"/>
  <c r="G16" i="7"/>
  <c r="F16" i="7"/>
  <c r="V15" i="7"/>
  <c r="U15" i="7"/>
  <c r="S15" i="7"/>
  <c r="R15" i="7"/>
  <c r="P15" i="7"/>
  <c r="O15" i="7"/>
  <c r="M15" i="7"/>
  <c r="L15" i="7"/>
  <c r="J15" i="7"/>
  <c r="I15" i="7"/>
  <c r="G15" i="7"/>
  <c r="F15" i="7"/>
  <c r="V14" i="7"/>
  <c r="U14" i="7"/>
  <c r="S14" i="7"/>
  <c r="R14" i="7"/>
  <c r="P14" i="7"/>
  <c r="O14" i="7"/>
  <c r="M14" i="7"/>
  <c r="L14" i="7"/>
  <c r="J14" i="7"/>
  <c r="I14" i="7"/>
  <c r="G14" i="7"/>
  <c r="F14" i="7"/>
  <c r="V13" i="7"/>
  <c r="U13" i="7"/>
  <c r="S13" i="7"/>
  <c r="R13" i="7"/>
  <c r="P13" i="7"/>
  <c r="O13" i="7"/>
  <c r="M13" i="7"/>
  <c r="L13" i="7"/>
  <c r="J13" i="7"/>
  <c r="I13" i="7"/>
  <c r="G13" i="7"/>
  <c r="F13" i="7"/>
  <c r="V12" i="7"/>
  <c r="U12" i="7"/>
  <c r="S12" i="7"/>
  <c r="R12" i="7"/>
  <c r="P12" i="7"/>
  <c r="O12" i="7"/>
  <c r="M12" i="7"/>
  <c r="L12" i="7"/>
  <c r="J12" i="7"/>
  <c r="I12" i="7"/>
  <c r="G12" i="7"/>
  <c r="F12" i="7"/>
  <c r="V11" i="7"/>
  <c r="U11" i="7"/>
  <c r="S11" i="7"/>
  <c r="R11" i="7"/>
  <c r="P11" i="7"/>
  <c r="O11" i="7"/>
  <c r="M11" i="7"/>
  <c r="L11" i="7"/>
  <c r="J11" i="7"/>
  <c r="I11" i="7"/>
  <c r="G11" i="7"/>
  <c r="F11" i="7"/>
  <c r="V10" i="7"/>
  <c r="U10" i="7"/>
  <c r="S10" i="7"/>
  <c r="R10" i="7"/>
  <c r="P10" i="7"/>
  <c r="O10" i="7"/>
  <c r="M10" i="7"/>
  <c r="L10" i="7"/>
  <c r="J10" i="7"/>
  <c r="I10" i="7"/>
  <c r="G10" i="7"/>
  <c r="F10" i="7"/>
  <c r="V9" i="7"/>
  <c r="U9" i="7"/>
  <c r="S9" i="7"/>
  <c r="R9" i="7"/>
  <c r="P9" i="7"/>
  <c r="O9" i="7"/>
  <c r="M9" i="7"/>
  <c r="L9" i="7"/>
  <c r="J9" i="7"/>
  <c r="I9" i="7"/>
  <c r="G9" i="7"/>
  <c r="F9" i="7"/>
  <c r="V8" i="7"/>
  <c r="U8" i="7"/>
  <c r="S8" i="7"/>
  <c r="R8" i="7"/>
  <c r="P8" i="7"/>
  <c r="O8" i="7"/>
  <c r="M8" i="7"/>
  <c r="L8" i="7"/>
  <c r="J8" i="7"/>
  <c r="I8" i="7"/>
  <c r="G8" i="7"/>
  <c r="F8" i="7"/>
  <c r="V7" i="7"/>
  <c r="U7" i="7"/>
  <c r="S7" i="7"/>
  <c r="R7" i="7"/>
  <c r="P7" i="7"/>
  <c r="O7" i="7"/>
  <c r="M7" i="7"/>
  <c r="L7" i="7"/>
  <c r="J7" i="7"/>
  <c r="I7" i="7"/>
  <c r="G7" i="7"/>
  <c r="F7" i="7"/>
  <c r="V6" i="7"/>
  <c r="U6" i="7"/>
  <c r="S6" i="7"/>
  <c r="R6" i="7"/>
  <c r="P6" i="7"/>
  <c r="O6" i="7"/>
  <c r="M6" i="7"/>
  <c r="L6" i="7"/>
  <c r="J6" i="7"/>
  <c r="I6" i="7"/>
  <c r="G6" i="7"/>
  <c r="D29" i="7"/>
  <c r="D28" i="7"/>
  <c r="D27" i="7"/>
  <c r="D26" i="7"/>
  <c r="D25" i="7"/>
  <c r="D24" i="7"/>
  <c r="D23" i="7"/>
  <c r="D22" i="7"/>
  <c r="D21" i="7"/>
  <c r="D20" i="7"/>
  <c r="D19" i="7"/>
  <c r="D18" i="7"/>
  <c r="D17" i="7"/>
  <c r="D16" i="7"/>
  <c r="D15" i="7"/>
  <c r="D14" i="7"/>
  <c r="D13" i="7"/>
  <c r="D12" i="7"/>
  <c r="D11" i="7"/>
  <c r="D10" i="7"/>
  <c r="D9" i="7"/>
  <c r="D8" i="7"/>
  <c r="D7" i="7"/>
  <c r="D6" i="7"/>
  <c r="C29" i="7"/>
  <c r="C28" i="7"/>
  <c r="E28" i="7" s="1"/>
  <c r="C27" i="7"/>
  <c r="C26" i="7"/>
  <c r="C25" i="7"/>
  <c r="C24" i="7"/>
  <c r="E24" i="7" s="1"/>
  <c r="C23" i="7"/>
  <c r="C22" i="7"/>
  <c r="C21" i="7"/>
  <c r="C20" i="7"/>
  <c r="C19" i="7"/>
  <c r="C18" i="7"/>
  <c r="C17" i="7"/>
  <c r="C16" i="7"/>
  <c r="C15" i="7"/>
  <c r="C14" i="7"/>
  <c r="C13" i="7"/>
  <c r="E13" i="7" s="1"/>
  <c r="C12" i="7"/>
  <c r="C11" i="7"/>
  <c r="C10" i="7"/>
  <c r="C9" i="7"/>
  <c r="C8" i="7"/>
  <c r="C7" i="7"/>
  <c r="E7" i="7" s="1"/>
  <c r="C6" i="7"/>
  <c r="B1" i="11"/>
  <c r="G19" i="11"/>
  <c r="O43" i="5"/>
  <c r="R43" i="5"/>
  <c r="O44" i="5"/>
  <c r="R44" i="5"/>
  <c r="O45" i="5"/>
  <c r="R45" i="5"/>
  <c r="O46" i="5"/>
  <c r="R46" i="5"/>
  <c r="O47" i="5"/>
  <c r="R47" i="5"/>
  <c r="O48" i="5"/>
  <c r="R48" i="5"/>
  <c r="O49" i="5"/>
  <c r="R49" i="5"/>
  <c r="O50" i="5"/>
  <c r="R50" i="5"/>
  <c r="O51" i="5"/>
  <c r="R51" i="5"/>
  <c r="O52" i="5"/>
  <c r="R52" i="5"/>
  <c r="O53" i="5"/>
  <c r="R53" i="5"/>
  <c r="O54" i="5"/>
  <c r="R54" i="5"/>
  <c r="O55" i="5"/>
  <c r="R55" i="5"/>
  <c r="O56" i="5"/>
  <c r="R56" i="5"/>
  <c r="O57" i="5"/>
  <c r="R57" i="5"/>
  <c r="O58" i="5"/>
  <c r="R58" i="5"/>
  <c r="O59" i="5"/>
  <c r="R59" i="5"/>
  <c r="O60" i="5"/>
  <c r="R60" i="5"/>
  <c r="O61" i="5"/>
  <c r="R61" i="5"/>
  <c r="O62" i="5"/>
  <c r="R62" i="5"/>
  <c r="O63" i="5"/>
  <c r="R63" i="5"/>
  <c r="O64" i="5"/>
  <c r="R64" i="5"/>
  <c r="O65" i="5"/>
  <c r="R65" i="5"/>
  <c r="O66" i="5"/>
  <c r="R66" i="5"/>
  <c r="O67" i="5"/>
  <c r="R67" i="5"/>
  <c r="O68" i="5"/>
  <c r="R68" i="5"/>
  <c r="O69" i="5"/>
  <c r="R69" i="5"/>
  <c r="O70" i="5"/>
  <c r="R70" i="5"/>
  <c r="O24" i="5"/>
  <c r="O25" i="5"/>
  <c r="O26" i="5"/>
  <c r="O27" i="5"/>
  <c r="O28" i="5"/>
  <c r="O29" i="5"/>
  <c r="O30" i="5"/>
  <c r="O35" i="5"/>
  <c r="O34" i="5"/>
  <c r="O39" i="5"/>
  <c r="O38" i="5"/>
  <c r="O36" i="5"/>
  <c r="O37" i="5"/>
  <c r="O42" i="5"/>
  <c r="AO3" i="5"/>
  <c r="S3" i="5"/>
  <c r="O15" i="5"/>
  <c r="O17" i="5"/>
  <c r="O11" i="5"/>
  <c r="O40" i="5"/>
  <c r="O41" i="5"/>
  <c r="O22" i="5"/>
  <c r="O23" i="5"/>
  <c r="O21" i="5"/>
  <c r="O33" i="5"/>
  <c r="O32" i="5"/>
  <c r="O19" i="5"/>
  <c r="O9" i="5"/>
  <c r="O10" i="5"/>
  <c r="O31" i="5"/>
  <c r="O16" i="5"/>
  <c r="O18" i="5"/>
  <c r="O14" i="5"/>
  <c r="O13" i="5"/>
  <c r="O20" i="5"/>
  <c r="O12" i="5"/>
  <c r="O8" i="5"/>
  <c r="O6" i="5"/>
  <c r="O7" i="5"/>
  <c r="R42" i="5"/>
  <c r="R15" i="5"/>
  <c r="R33" i="5"/>
  <c r="R14" i="5"/>
  <c r="R24" i="5"/>
  <c r="R25" i="5"/>
  <c r="R26" i="5"/>
  <c r="R17" i="5"/>
  <c r="R23" i="5"/>
  <c r="R35" i="5"/>
  <c r="R34" i="5"/>
  <c r="R8" i="5"/>
  <c r="R6" i="5"/>
  <c r="R21" i="5"/>
  <c r="R32" i="5"/>
  <c r="R9" i="5"/>
  <c r="R31" i="5"/>
  <c r="R18" i="5"/>
  <c r="R20" i="5"/>
  <c r="R7" i="5"/>
  <c r="R27" i="5"/>
  <c r="R28" i="5"/>
  <c r="R29" i="5"/>
  <c r="R30" i="5"/>
  <c r="R39" i="5"/>
  <c r="R38" i="5"/>
  <c r="R36" i="5"/>
  <c r="R37" i="5"/>
  <c r="R10" i="5"/>
  <c r="R12" i="5"/>
  <c r="R11" i="5"/>
  <c r="R40" i="5"/>
  <c r="R41" i="5"/>
  <c r="R22" i="5"/>
  <c r="R19" i="5"/>
  <c r="R16" i="5"/>
  <c r="R13" i="5"/>
  <c r="W54" i="6" l="1"/>
  <c r="Q54" i="6"/>
  <c r="V56" i="6"/>
  <c r="N54" i="6"/>
  <c r="H54" i="6"/>
  <c r="E54" i="6"/>
  <c r="AP27" i="7"/>
  <c r="AR27" i="7" s="1"/>
  <c r="AR40" i="6"/>
  <c r="AP22" i="7"/>
  <c r="AR22" i="7" s="1"/>
  <c r="AP19" i="7"/>
  <c r="AR19" i="7" s="1"/>
  <c r="AP18" i="7"/>
  <c r="AR18" i="7" s="1"/>
  <c r="AP15" i="7"/>
  <c r="AR15" i="7" s="1"/>
  <c r="AP12" i="7"/>
  <c r="AR12" i="7" s="1"/>
  <c r="AP11" i="7"/>
  <c r="AR11" i="7" s="1"/>
  <c r="AP54" i="6"/>
  <c r="AR54" i="6" s="1"/>
  <c r="AP10" i="7"/>
  <c r="AR8" i="6"/>
  <c r="AR6" i="6"/>
  <c r="AM28" i="7"/>
  <c r="AO28" i="7" s="1"/>
  <c r="AM27" i="7"/>
  <c r="AO27" i="7" s="1"/>
  <c r="AM23" i="7"/>
  <c r="AO23" i="7" s="1"/>
  <c r="AM22" i="7"/>
  <c r="AO22" i="7" s="1"/>
  <c r="AM20" i="7"/>
  <c r="AO20" i="7" s="1"/>
  <c r="AM15" i="7"/>
  <c r="AO15" i="7" s="1"/>
  <c r="AM12" i="7"/>
  <c r="AO12" i="7" s="1"/>
  <c r="AO16" i="6"/>
  <c r="AM8" i="7"/>
  <c r="AO8" i="7" s="1"/>
  <c r="AM7" i="7"/>
  <c r="AL40" i="6"/>
  <c r="AJ19" i="7"/>
  <c r="AL19" i="7" s="1"/>
  <c r="AJ11" i="7"/>
  <c r="AL11" i="7" s="1"/>
  <c r="AJ54" i="6"/>
  <c r="AL54" i="6" s="1"/>
  <c r="AI50" i="6"/>
  <c r="AG27" i="7"/>
  <c r="AI27" i="7" s="1"/>
  <c r="AG23" i="7"/>
  <c r="AI23" i="7" s="1"/>
  <c r="AG20" i="7"/>
  <c r="AI20" i="7" s="1"/>
  <c r="AI32" i="6"/>
  <c r="AG16" i="7"/>
  <c r="AI16" i="7" s="1"/>
  <c r="AG15" i="7"/>
  <c r="AI15" i="7" s="1"/>
  <c r="AG11" i="7"/>
  <c r="AI11" i="7" s="1"/>
  <c r="AG7" i="7"/>
  <c r="AI7" i="7" s="1"/>
  <c r="AI6" i="6"/>
  <c r="AD27" i="7"/>
  <c r="AF27" i="7" s="1"/>
  <c r="AD26" i="7"/>
  <c r="AF26" i="7" s="1"/>
  <c r="AD24" i="7"/>
  <c r="AF24" i="7" s="1"/>
  <c r="AD23" i="7"/>
  <c r="AF23" i="7" s="1"/>
  <c r="AD19" i="7"/>
  <c r="AF19" i="7" s="1"/>
  <c r="AD18" i="7"/>
  <c r="AF18" i="7" s="1"/>
  <c r="AD15" i="7"/>
  <c r="AF15" i="7" s="1"/>
  <c r="AD11" i="7"/>
  <c r="AF11" i="7" s="1"/>
  <c r="AF14" i="6"/>
  <c r="AD54" i="6"/>
  <c r="AF54" i="6" s="1"/>
  <c r="AD7" i="7"/>
  <c r="AF7" i="7" s="1"/>
  <c r="AF6" i="6"/>
  <c r="AD6" i="7"/>
  <c r="AF6" i="7" s="1"/>
  <c r="AA28" i="7"/>
  <c r="AC28" i="7" s="1"/>
  <c r="AA27" i="7"/>
  <c r="AC27" i="7" s="1"/>
  <c r="AC42" i="6"/>
  <c r="AA23" i="7"/>
  <c r="AC23" i="7" s="1"/>
  <c r="AA22" i="7"/>
  <c r="AC22" i="7" s="1"/>
  <c r="AA20" i="7"/>
  <c r="AC20" i="7" s="1"/>
  <c r="AA19" i="7"/>
  <c r="AC19" i="7" s="1"/>
  <c r="AA18" i="7"/>
  <c r="AC18" i="7" s="1"/>
  <c r="AA15" i="7"/>
  <c r="AC15" i="7" s="1"/>
  <c r="AA11" i="7"/>
  <c r="AC11" i="7" s="1"/>
  <c r="AA8" i="7"/>
  <c r="AC8" i="7" s="1"/>
  <c r="AA7" i="7"/>
  <c r="AC7" i="7" s="1"/>
  <c r="X28" i="7"/>
  <c r="Z28" i="7" s="1"/>
  <c r="X27" i="7"/>
  <c r="Z27" i="7" s="1"/>
  <c r="Z42" i="6"/>
  <c r="Z32" i="6"/>
  <c r="X8" i="7"/>
  <c r="Z8" i="7" s="1"/>
  <c r="L30" i="7"/>
  <c r="F30" i="7"/>
  <c r="X54" i="6"/>
  <c r="Z54" i="6" s="1"/>
  <c r="U56" i="6"/>
  <c r="P30" i="7"/>
  <c r="G30" i="7"/>
  <c r="S30" i="7"/>
  <c r="Y30" i="7"/>
  <c r="AB30" i="7"/>
  <c r="V30" i="7"/>
  <c r="M30" i="7"/>
  <c r="R30" i="7"/>
  <c r="AL24" i="7"/>
  <c r="AF25" i="7"/>
  <c r="AM54" i="6"/>
  <c r="AO54" i="6" s="1"/>
  <c r="J30" i="7"/>
  <c r="AO11" i="6"/>
  <c r="W27" i="7"/>
  <c r="Q19" i="7"/>
  <c r="K25" i="7"/>
  <c r="Q28" i="7"/>
  <c r="AF21" i="7"/>
  <c r="AA54" i="6"/>
  <c r="AC54" i="6" s="1"/>
  <c r="K28" i="7"/>
  <c r="K29" i="7"/>
  <c r="I30" i="7"/>
  <c r="T17" i="7"/>
  <c r="K19" i="7"/>
  <c r="Q22" i="7"/>
  <c r="Q23" i="7"/>
  <c r="T25" i="7"/>
  <c r="K26" i="7"/>
  <c r="N26" i="7"/>
  <c r="N27" i="7"/>
  <c r="N28" i="7"/>
  <c r="T29" i="7"/>
  <c r="W29" i="7"/>
  <c r="AC26" i="7"/>
  <c r="AC29" i="7"/>
  <c r="AI29" i="7"/>
  <c r="AO29" i="7"/>
  <c r="AQ56" i="6"/>
  <c r="AF16" i="7"/>
  <c r="AF22" i="7"/>
  <c r="AR26" i="7"/>
  <c r="AR23" i="7"/>
  <c r="AC24" i="7"/>
  <c r="AO25" i="7"/>
  <c r="AR25" i="7"/>
  <c r="AI28" i="7"/>
  <c r="AR16" i="7"/>
  <c r="AI17" i="7"/>
  <c r="AO19" i="7"/>
  <c r="AC21" i="7"/>
  <c r="AL21" i="7"/>
  <c r="AL10" i="7"/>
  <c r="Z7" i="7"/>
  <c r="AR13" i="7"/>
  <c r="AC14" i="7"/>
  <c r="AF10" i="7"/>
  <c r="AL6" i="7"/>
  <c r="AF8" i="7"/>
  <c r="AF13" i="7"/>
  <c r="Z16" i="7"/>
  <c r="Z17" i="7"/>
  <c r="AR17" i="7"/>
  <c r="AL18" i="7"/>
  <c r="Z9" i="7"/>
  <c r="AF9" i="7"/>
  <c r="AO10" i="7"/>
  <c r="AO11" i="7"/>
  <c r="AO6" i="7"/>
  <c r="AL7" i="7"/>
  <c r="AR7" i="7"/>
  <c r="AC9" i="7"/>
  <c r="AO9" i="7"/>
  <c r="AR9" i="7"/>
  <c r="AF12" i="7"/>
  <c r="AI12" i="7"/>
  <c r="AL12" i="7"/>
  <c r="AL13" i="7"/>
  <c r="AO13" i="7"/>
  <c r="AL14" i="7"/>
  <c r="AO14" i="7"/>
  <c r="AC6" i="7"/>
  <c r="T54" i="6"/>
  <c r="H18" i="7"/>
  <c r="T20" i="7"/>
  <c r="W20" i="7"/>
  <c r="W21" i="7"/>
  <c r="T23" i="7"/>
  <c r="N24" i="7"/>
  <c r="N25" i="7"/>
  <c r="W25" i="7"/>
  <c r="H27" i="7"/>
  <c r="K27" i="7"/>
  <c r="O30" i="7"/>
  <c r="U30" i="7"/>
  <c r="W16" i="7"/>
  <c r="T18" i="7"/>
  <c r="H20" i="7"/>
  <c r="N20" i="7"/>
  <c r="N21" i="7"/>
  <c r="Q21" i="7"/>
  <c r="T21" i="7"/>
  <c r="K22" i="7"/>
  <c r="T22" i="7"/>
  <c r="N23" i="7"/>
  <c r="H24" i="7"/>
  <c r="T24" i="7"/>
  <c r="H25" i="7"/>
  <c r="Q25" i="7"/>
  <c r="H26" i="7"/>
  <c r="Q26" i="7"/>
  <c r="T26" i="7"/>
  <c r="W26" i="7"/>
  <c r="Q27" i="7"/>
  <c r="T27" i="7"/>
  <c r="H28" i="7"/>
  <c r="T28" i="7"/>
  <c r="W28" i="7"/>
  <c r="H29" i="7"/>
  <c r="N29" i="7"/>
  <c r="Q29" i="7"/>
  <c r="AR6" i="7"/>
  <c r="AI8" i="7"/>
  <c r="AL8" i="7"/>
  <c r="AR8" i="7"/>
  <c r="AI9" i="7"/>
  <c r="AL9" i="7"/>
  <c r="Z10" i="7"/>
  <c r="AC10" i="7"/>
  <c r="AI10" i="7"/>
  <c r="Z11" i="7"/>
  <c r="Z12" i="7"/>
  <c r="AC12" i="7"/>
  <c r="Z13" i="7"/>
  <c r="AC13" i="7"/>
  <c r="AI13" i="7"/>
  <c r="Z14" i="7"/>
  <c r="AF14" i="7"/>
  <c r="AI14" i="7"/>
  <c r="AR14" i="7"/>
  <c r="Z15" i="7"/>
  <c r="AL15" i="7"/>
  <c r="AC16" i="7"/>
  <c r="AC17" i="7"/>
  <c r="AF17" i="7"/>
  <c r="AL17" i="7"/>
  <c r="Z18" i="7"/>
  <c r="AI18" i="7"/>
  <c r="AF20" i="7"/>
  <c r="AL20" i="7"/>
  <c r="AO21" i="7"/>
  <c r="AL23" i="7"/>
  <c r="Z24" i="7"/>
  <c r="Z25" i="7"/>
  <c r="AC25" i="7"/>
  <c r="AL28" i="7"/>
  <c r="AF29" i="7"/>
  <c r="AL29" i="7"/>
  <c r="AG54" i="6"/>
  <c r="AI54" i="6" s="1"/>
  <c r="AR29" i="7"/>
  <c r="AI6" i="7"/>
  <c r="Z6" i="7"/>
  <c r="K54" i="6"/>
  <c r="H15" i="7"/>
  <c r="E29" i="7"/>
  <c r="K14" i="7"/>
  <c r="E6" i="7"/>
  <c r="T11" i="7"/>
  <c r="H6" i="7"/>
  <c r="W12" i="7"/>
  <c r="K13" i="7"/>
  <c r="W13" i="7"/>
  <c r="H14" i="7"/>
  <c r="K16" i="7"/>
  <c r="Q16" i="7"/>
  <c r="Q17" i="7"/>
  <c r="W17" i="7"/>
  <c r="K18" i="7"/>
  <c r="Q18" i="7"/>
  <c r="N19" i="7"/>
  <c r="T19" i="7"/>
  <c r="W19" i="7"/>
  <c r="K20" i="7"/>
  <c r="Q20" i="7"/>
  <c r="H21" i="7"/>
  <c r="K21" i="7"/>
  <c r="H22" i="7"/>
  <c r="N22" i="7"/>
  <c r="W22" i="7"/>
  <c r="H23" i="7"/>
  <c r="K23" i="7"/>
  <c r="W23" i="7"/>
  <c r="K24" i="7"/>
  <c r="Q24" i="7"/>
  <c r="W24" i="7"/>
  <c r="AI26" i="7"/>
  <c r="E11" i="7"/>
  <c r="E23" i="7"/>
  <c r="N10" i="7"/>
  <c r="T12" i="7"/>
  <c r="T14" i="7"/>
  <c r="W15" i="7"/>
  <c r="H16" i="7"/>
  <c r="H7" i="7"/>
  <c r="K8" i="7"/>
  <c r="W8" i="7"/>
  <c r="T9" i="7"/>
  <c r="H11" i="7"/>
  <c r="H12" i="7"/>
  <c r="Q12" i="7"/>
  <c r="Q13" i="7"/>
  <c r="N14" i="7"/>
  <c r="N15" i="7"/>
  <c r="T15" i="7"/>
  <c r="N16" i="7"/>
  <c r="T16" i="7"/>
  <c r="H17" i="7"/>
  <c r="K17" i="7"/>
  <c r="N17" i="7"/>
  <c r="N18" i="7"/>
  <c r="W18" i="7"/>
  <c r="H19" i="7"/>
  <c r="E14" i="7"/>
  <c r="E10" i="7"/>
  <c r="E20" i="7"/>
  <c r="T7" i="7"/>
  <c r="K9" i="7"/>
  <c r="H10" i="7"/>
  <c r="T10" i="7"/>
  <c r="K11" i="7"/>
  <c r="E15" i="7"/>
  <c r="E19" i="7"/>
  <c r="E25" i="7"/>
  <c r="E9" i="7"/>
  <c r="E17" i="7"/>
  <c r="E21" i="7"/>
  <c r="E27" i="7"/>
  <c r="N7" i="7"/>
  <c r="H8" i="7"/>
  <c r="T8" i="7"/>
  <c r="K6" i="7"/>
  <c r="Q6" i="7"/>
  <c r="C30" i="7"/>
  <c r="D30" i="7"/>
  <c r="K7" i="7"/>
  <c r="Q7" i="7"/>
  <c r="W7" i="7"/>
  <c r="N8" i="7"/>
  <c r="Q8" i="7"/>
  <c r="H9" i="7"/>
  <c r="N9" i="7"/>
  <c r="Q9" i="7"/>
  <c r="W9" i="7"/>
  <c r="K10" i="7"/>
  <c r="Q10" i="7"/>
  <c r="W10" i="7"/>
  <c r="N11" i="7"/>
  <c r="Q11" i="7"/>
  <c r="W11" i="7"/>
  <c r="K12" i="7"/>
  <c r="N12" i="7"/>
  <c r="H13" i="7"/>
  <c r="N13" i="7"/>
  <c r="T13" i="7"/>
  <c r="Q14" i="7"/>
  <c r="W14" i="7"/>
  <c r="K15" i="7"/>
  <c r="Q15" i="7"/>
  <c r="AR20" i="7"/>
  <c r="Z20" i="7"/>
  <c r="Z23" i="7"/>
  <c r="AI25" i="7"/>
  <c r="E8" i="7"/>
  <c r="E12" i="7"/>
  <c r="E18" i="7"/>
  <c r="E22" i="7"/>
  <c r="T6" i="7"/>
  <c r="W6" i="7"/>
  <c r="N6" i="7"/>
  <c r="AE30" i="7"/>
  <c r="AH30" i="7"/>
  <c r="AK30" i="7"/>
  <c r="AN30" i="7"/>
  <c r="AQ30" i="7"/>
  <c r="AO16" i="7"/>
  <c r="AO17" i="7"/>
  <c r="Z22" i="7"/>
  <c r="AI22" i="7"/>
  <c r="AL22" i="7"/>
  <c r="AO26" i="7"/>
  <c r="AF28" i="7"/>
  <c r="E26" i="7"/>
  <c r="E16" i="7"/>
  <c r="Z19" i="7"/>
  <c r="AI21" i="7"/>
  <c r="AR21" i="7"/>
  <c r="Z26" i="7"/>
  <c r="AL26" i="7"/>
  <c r="Z29" i="7"/>
  <c r="AO24" i="7"/>
  <c r="AR24" i="7"/>
  <c r="AL27" i="7"/>
  <c r="AL16" i="7"/>
  <c r="AO18" i="7"/>
  <c r="AI19" i="7"/>
  <c r="Z21" i="7"/>
  <c r="AI24" i="7"/>
  <c r="AL25" i="7"/>
  <c r="AR28" i="7"/>
  <c r="W57" i="6" l="1"/>
  <c r="AP30" i="7"/>
  <c r="AR30" i="7" s="1"/>
  <c r="AR10" i="7"/>
  <c r="AM30" i="7"/>
  <c r="AO30" i="7" s="1"/>
  <c r="AO7" i="7"/>
  <c r="AJ30" i="7"/>
  <c r="AL30" i="7" s="1"/>
  <c r="AG30" i="7"/>
  <c r="AI30" i="7" s="1"/>
  <c r="AD30" i="7"/>
  <c r="AF30" i="7" s="1"/>
  <c r="AA30" i="7"/>
  <c r="AC30" i="7" s="1"/>
  <c r="X30" i="7"/>
  <c r="Z30" i="7" s="1"/>
  <c r="N30" i="7"/>
  <c r="W56" i="6"/>
  <c r="H30" i="7"/>
  <c r="Q30" i="7"/>
  <c r="W30" i="7"/>
  <c r="T30" i="7"/>
  <c r="K30" i="7"/>
  <c r="V32" i="7"/>
  <c r="E20" i="11" s="1"/>
  <c r="AP56" i="6"/>
  <c r="AR57" i="6" s="1"/>
  <c r="U32" i="7"/>
  <c r="E19" i="11" s="1"/>
  <c r="F19" i="11" s="1"/>
  <c r="AQ32" i="7"/>
  <c r="E30" i="7"/>
  <c r="AP32" i="7" l="1"/>
  <c r="AR32" i="7" s="1"/>
  <c r="AR56" i="6"/>
  <c r="W32" i="7"/>
  <c r="W33" i="7"/>
  <c r="G20" i="11"/>
  <c r="F20" i="11"/>
  <c r="F18" i="5"/>
  <c r="J44" i="5"/>
  <c r="BJ35" i="5"/>
  <c r="I58" i="5"/>
  <c r="Q19" i="5"/>
  <c r="Q41" i="5"/>
  <c r="AN6" i="5"/>
  <c r="Q44" i="5"/>
  <c r="BJ48" i="5"/>
  <c r="G34" i="5"/>
  <c r="Q69" i="5"/>
  <c r="BJ45" i="5"/>
  <c r="G26" i="5"/>
  <c r="P12" i="5"/>
  <c r="P18" i="5"/>
  <c r="BJ21" i="5"/>
  <c r="J63" i="5"/>
  <c r="AN53" i="5"/>
  <c r="BJ62" i="5"/>
  <c r="K34" i="5"/>
  <c r="I54" i="5"/>
  <c r="J21" i="5"/>
  <c r="I57" i="5"/>
  <c r="AN48" i="5"/>
  <c r="K41" i="5"/>
  <c r="BJ29" i="5"/>
  <c r="G64" i="5"/>
  <c r="Q70" i="5"/>
  <c r="AN70" i="5"/>
  <c r="Q54" i="5"/>
  <c r="Q51" i="5"/>
  <c r="I13" i="5"/>
  <c r="G18" i="5"/>
  <c r="K8" i="5"/>
  <c r="J52" i="5"/>
  <c r="P15" i="5"/>
  <c r="BJ50" i="5"/>
  <c r="Q24" i="5"/>
  <c r="J43" i="5"/>
  <c r="P38" i="5"/>
  <c r="K12" i="5"/>
  <c r="I36" i="5"/>
  <c r="F9" i="5"/>
  <c r="Q36" i="5"/>
  <c r="F68" i="5"/>
  <c r="K45" i="5"/>
  <c r="G10" i="5"/>
  <c r="BJ40" i="5"/>
  <c r="J30" i="5"/>
  <c r="AN49" i="5"/>
  <c r="K28" i="5"/>
  <c r="F8" i="5"/>
  <c r="I18" i="5"/>
  <c r="G36" i="5"/>
  <c r="Q18" i="5"/>
  <c r="G46" i="5"/>
  <c r="G43" i="5"/>
  <c r="G19" i="5"/>
  <c r="F50" i="5"/>
  <c r="P68" i="5"/>
  <c r="P42" i="5"/>
  <c r="P19" i="5"/>
  <c r="K18" i="5"/>
  <c r="Q60" i="5"/>
  <c r="P30" i="5"/>
  <c r="G38" i="5"/>
  <c r="F26" i="5"/>
  <c r="BJ32" i="5"/>
  <c r="I7" i="5"/>
  <c r="AN29" i="5"/>
  <c r="P13" i="5"/>
  <c r="Q12" i="5"/>
  <c r="F39" i="5"/>
  <c r="BJ24" i="5"/>
  <c r="P56" i="5"/>
  <c r="J29" i="5"/>
  <c r="J39" i="5"/>
  <c r="J14" i="5"/>
  <c r="G7" i="5"/>
  <c r="AN32" i="5"/>
  <c r="AN44" i="5"/>
  <c r="K63" i="5"/>
  <c r="F43" i="5"/>
  <c r="F16" i="5"/>
  <c r="J9" i="5"/>
  <c r="G66" i="5"/>
  <c r="I38" i="5"/>
  <c r="K13" i="5"/>
  <c r="I50" i="5"/>
  <c r="J65" i="5"/>
  <c r="Q57" i="5"/>
  <c r="K25" i="5"/>
  <c r="BJ44" i="5"/>
  <c r="K6" i="5"/>
  <c r="P11" i="5"/>
  <c r="F29" i="5"/>
  <c r="J27" i="5"/>
  <c r="AN18" i="5"/>
  <c r="AN26" i="5"/>
  <c r="F19" i="5"/>
  <c r="K9" i="5"/>
  <c r="F44" i="5"/>
  <c r="BJ10" i="5"/>
  <c r="G58" i="5"/>
  <c r="Q31" i="5"/>
  <c r="Q47" i="5"/>
  <c r="BJ15" i="5"/>
  <c r="P61" i="5"/>
  <c r="AN47" i="5"/>
  <c r="BJ56" i="5"/>
  <c r="J33" i="5"/>
  <c r="K52" i="5"/>
  <c r="F20" i="5"/>
  <c r="P7" i="5"/>
  <c r="I49" i="5"/>
  <c r="BJ20" i="5"/>
  <c r="F63" i="5"/>
  <c r="P54" i="5"/>
  <c r="AN61" i="5"/>
  <c r="K35" i="5"/>
  <c r="G54" i="5"/>
  <c r="I41" i="5"/>
  <c r="AN51" i="5"/>
  <c r="K15" i="5"/>
  <c r="AN40" i="5"/>
  <c r="J32" i="5"/>
  <c r="AN27" i="5"/>
  <c r="J18" i="5"/>
  <c r="G15" i="5"/>
  <c r="P37" i="5"/>
  <c r="Q23" i="5"/>
  <c r="BJ30" i="5"/>
  <c r="J8" i="5"/>
  <c r="AN23" i="5"/>
  <c r="Q33" i="5"/>
  <c r="AN13" i="5"/>
  <c r="P51" i="5"/>
  <c r="I20" i="5"/>
  <c r="F58" i="5"/>
  <c r="Q49" i="5"/>
  <c r="P16" i="5"/>
  <c r="J62" i="5"/>
  <c r="BJ17" i="5"/>
  <c r="P28" i="5"/>
  <c r="G65" i="5"/>
  <c r="BJ33" i="5"/>
  <c r="Q15" i="5"/>
  <c r="G51" i="5"/>
  <c r="J22" i="5"/>
  <c r="J48" i="5"/>
  <c r="F36" i="5"/>
  <c r="Q40" i="5"/>
  <c r="K59" i="5"/>
  <c r="I35" i="5"/>
  <c r="P48" i="5"/>
  <c r="I44" i="5"/>
  <c r="G60" i="5"/>
  <c r="BJ13" i="5"/>
  <c r="G50" i="5"/>
  <c r="F49" i="5"/>
  <c r="Q6" i="5"/>
  <c r="K31" i="5"/>
  <c r="J66" i="5"/>
  <c r="K37" i="5"/>
  <c r="G41" i="5"/>
  <c r="F42" i="5"/>
  <c r="I31" i="5"/>
  <c r="K39" i="5"/>
  <c r="G22" i="5"/>
  <c r="I25" i="5"/>
  <c r="P26" i="5"/>
  <c r="F40" i="5"/>
  <c r="F12" i="5"/>
  <c r="G31" i="5"/>
  <c r="F14" i="5"/>
  <c r="F7" i="5"/>
  <c r="K58" i="5"/>
  <c r="F67" i="5"/>
  <c r="I29" i="5"/>
  <c r="P29" i="5"/>
  <c r="J25" i="5"/>
  <c r="BJ47" i="5"/>
  <c r="Q53" i="5"/>
  <c r="G24" i="5"/>
  <c r="Q21" i="5"/>
  <c r="P53" i="5"/>
  <c r="AN69" i="5"/>
  <c r="I56" i="5"/>
  <c r="J64" i="5"/>
  <c r="G21" i="5"/>
  <c r="I55" i="5"/>
  <c r="F69" i="5"/>
  <c r="Q34" i="5"/>
  <c r="BJ63" i="5"/>
  <c r="BJ25" i="5"/>
  <c r="I28" i="5"/>
  <c r="K61" i="5"/>
  <c r="F38" i="5"/>
  <c r="K14" i="5"/>
  <c r="Q11" i="5"/>
  <c r="P64" i="5"/>
  <c r="BJ9" i="5"/>
  <c r="G48" i="5"/>
  <c r="F53" i="5"/>
  <c r="J59" i="5"/>
  <c r="K10" i="5"/>
  <c r="J7" i="5"/>
  <c r="Q38" i="5"/>
  <c r="BJ18" i="5"/>
  <c r="J26" i="5"/>
  <c r="AN36" i="5"/>
  <c r="K32" i="5"/>
  <c r="J53" i="5"/>
  <c r="BJ69" i="5"/>
  <c r="K51" i="5"/>
  <c r="AN30" i="5"/>
  <c r="AN28" i="5"/>
  <c r="J38" i="5"/>
  <c r="Q55" i="5"/>
  <c r="AN45" i="5"/>
  <c r="AN63" i="5"/>
  <c r="I64" i="5"/>
  <c r="J68" i="5"/>
  <c r="G69" i="5"/>
  <c r="J16" i="5"/>
  <c r="G23" i="5"/>
  <c r="I42" i="5"/>
  <c r="I16" i="5"/>
  <c r="P49" i="5"/>
  <c r="BJ70" i="5"/>
  <c r="AN31" i="5"/>
  <c r="K56" i="5"/>
  <c r="K30" i="5"/>
  <c r="K47" i="5"/>
  <c r="BJ14" i="5"/>
  <c r="J61" i="5"/>
  <c r="G53" i="5"/>
  <c r="AN55" i="5"/>
  <c r="J23" i="5"/>
  <c r="I52" i="5"/>
  <c r="Q43" i="5"/>
  <c r="Q8" i="5"/>
  <c r="F66" i="5"/>
  <c r="AN64" i="5"/>
  <c r="P10" i="5"/>
  <c r="J54" i="5"/>
  <c r="G57" i="5"/>
  <c r="P35" i="5"/>
  <c r="Q28" i="5"/>
  <c r="I17" i="5"/>
  <c r="BJ41" i="5"/>
  <c r="I30" i="5"/>
  <c r="K42" i="5"/>
  <c r="F52" i="5"/>
  <c r="Q61" i="5"/>
  <c r="Q30" i="5"/>
  <c r="BJ6" i="5"/>
  <c r="I70" i="5"/>
  <c r="J13" i="5"/>
  <c r="F62" i="5"/>
  <c r="K24" i="5"/>
  <c r="BJ12" i="5"/>
  <c r="J17" i="5"/>
  <c r="I39" i="5"/>
  <c r="G28" i="5"/>
  <c r="J42" i="5"/>
  <c r="P25" i="5"/>
  <c r="P46" i="5"/>
  <c r="Q9" i="5"/>
  <c r="G6" i="5"/>
  <c r="F28" i="5"/>
  <c r="I8" i="5"/>
  <c r="I34" i="5"/>
  <c r="G32" i="5"/>
  <c r="BJ42" i="5"/>
  <c r="Q58" i="5"/>
  <c r="Q26" i="5"/>
  <c r="F54" i="5"/>
  <c r="Q48" i="5"/>
  <c r="F37" i="5"/>
  <c r="AN57" i="5"/>
  <c r="P63" i="5"/>
  <c r="BJ11" i="5"/>
  <c r="F41" i="5"/>
  <c r="P21" i="5"/>
  <c r="J6" i="5"/>
  <c r="Q25" i="5"/>
  <c r="K53" i="5"/>
  <c r="AN21" i="5"/>
  <c r="Q10" i="5"/>
  <c r="G68" i="5"/>
  <c r="AN22" i="5"/>
  <c r="G30" i="5"/>
  <c r="AN58" i="5"/>
  <c r="P52" i="5"/>
  <c r="I21" i="5"/>
  <c r="K43" i="5"/>
  <c r="Q65" i="5"/>
  <c r="P14" i="5"/>
  <c r="F35" i="5"/>
  <c r="I46" i="5"/>
  <c r="F51" i="5"/>
  <c r="P34" i="5"/>
  <c r="BJ19" i="5"/>
  <c r="K55" i="5"/>
  <c r="AN68" i="5"/>
  <c r="I23" i="5"/>
  <c r="I66" i="5"/>
  <c r="J10" i="5"/>
  <c r="AN50" i="5"/>
  <c r="Q32" i="5"/>
  <c r="K50" i="5"/>
  <c r="BJ55" i="5"/>
  <c r="J56" i="5"/>
  <c r="F23" i="5"/>
  <c r="I65" i="5"/>
  <c r="G42" i="5"/>
  <c r="P36" i="5"/>
  <c r="P33" i="5"/>
  <c r="P23" i="5"/>
  <c r="P8" i="5"/>
  <c r="Q37" i="5"/>
  <c r="BJ34" i="5"/>
  <c r="K33" i="5"/>
  <c r="P9" i="5"/>
  <c r="I61" i="5"/>
  <c r="AN10" i="5"/>
  <c r="J41" i="5"/>
  <c r="G27" i="5"/>
  <c r="P55" i="5"/>
  <c r="G29" i="5"/>
  <c r="BJ38" i="5"/>
  <c r="K19" i="5"/>
  <c r="P67" i="5"/>
  <c r="I59" i="5"/>
  <c r="BJ23" i="5"/>
  <c r="K40" i="5"/>
  <c r="F32" i="5"/>
  <c r="F64" i="5"/>
  <c r="BJ57" i="5"/>
  <c r="F17" i="5"/>
  <c r="K69" i="5"/>
  <c r="G55" i="5"/>
  <c r="I19" i="5"/>
  <c r="Q68" i="5"/>
  <c r="J60" i="5"/>
  <c r="G20" i="5"/>
  <c r="AN39" i="5"/>
  <c r="P57" i="5"/>
  <c r="G37" i="5"/>
  <c r="AN24" i="5"/>
  <c r="P24" i="5"/>
  <c r="K48" i="5"/>
  <c r="AN19" i="5"/>
  <c r="Q62" i="5"/>
  <c r="BJ66" i="5"/>
  <c r="AN17" i="5"/>
  <c r="AN11" i="5"/>
  <c r="G49" i="5"/>
  <c r="BJ67" i="5"/>
  <c r="G40" i="5"/>
  <c r="AN12" i="5"/>
  <c r="J28" i="5"/>
  <c r="K23" i="5"/>
  <c r="I60" i="5"/>
  <c r="Q42" i="5"/>
  <c r="AN43" i="5"/>
  <c r="J47" i="5"/>
  <c r="BJ64" i="5"/>
  <c r="I67" i="5"/>
  <c r="F13" i="5"/>
  <c r="P39" i="5"/>
  <c r="K7" i="5"/>
  <c r="P31" i="5"/>
  <c r="K57" i="5"/>
  <c r="BJ36" i="5"/>
  <c r="K20" i="5"/>
  <c r="P70" i="5"/>
  <c r="G16" i="5"/>
  <c r="Q22" i="5"/>
  <c r="AN7" i="5"/>
  <c r="I63" i="5"/>
  <c r="P45" i="5"/>
  <c r="P43" i="5"/>
  <c r="F31" i="5"/>
  <c r="Q17" i="5"/>
  <c r="K38" i="5"/>
  <c r="Q35" i="5"/>
  <c r="BJ7" i="5"/>
  <c r="BJ53" i="5"/>
  <c r="J55" i="5"/>
  <c r="G25" i="5"/>
  <c r="Q63" i="5"/>
  <c r="G13" i="5"/>
  <c r="P69" i="5"/>
  <c r="BJ68" i="5"/>
  <c r="Q56" i="5"/>
  <c r="P47" i="5"/>
  <c r="BJ39" i="5"/>
  <c r="AN34" i="5"/>
  <c r="AN42" i="5"/>
  <c r="P50" i="5"/>
  <c r="AN52" i="5"/>
  <c r="BJ46" i="5"/>
  <c r="G12" i="5"/>
  <c r="F21" i="5"/>
  <c r="G59" i="5"/>
  <c r="BJ22" i="5"/>
  <c r="J37" i="5"/>
  <c r="F46" i="5"/>
  <c r="AN20" i="5"/>
  <c r="G56" i="5"/>
  <c r="I37" i="5"/>
  <c r="I69" i="5"/>
  <c r="BJ27" i="5"/>
  <c r="Q46" i="5"/>
  <c r="K29" i="5"/>
  <c r="F60" i="5"/>
  <c r="F10" i="5"/>
  <c r="AN37" i="5"/>
  <c r="J57" i="5"/>
  <c r="BJ60" i="5"/>
  <c r="K36" i="5"/>
  <c r="J24" i="5"/>
  <c r="I48" i="5"/>
  <c r="AN15" i="5"/>
  <c r="G61" i="5"/>
  <c r="BJ16" i="5"/>
  <c r="J58" i="5"/>
  <c r="P66" i="5"/>
  <c r="G67" i="5"/>
  <c r="K16" i="5"/>
  <c r="I14" i="5"/>
  <c r="Q59" i="5"/>
  <c r="F57" i="5"/>
  <c r="J70" i="5"/>
  <c r="P40" i="5"/>
  <c r="F15" i="5"/>
  <c r="I26" i="5"/>
  <c r="I45" i="5"/>
  <c r="BJ26" i="5"/>
  <c r="F47" i="5"/>
  <c r="F61" i="5"/>
  <c r="P58" i="5"/>
  <c r="BJ52" i="5"/>
  <c r="I53" i="5"/>
  <c r="J50" i="5"/>
  <c r="Q7" i="5"/>
  <c r="I12" i="5"/>
  <c r="P17" i="5"/>
  <c r="AN33" i="5"/>
  <c r="K68" i="5"/>
  <c r="J67" i="5"/>
  <c r="AN66" i="5"/>
  <c r="Q45" i="5"/>
  <c r="I22" i="5"/>
  <c r="K46" i="5"/>
  <c r="AN59" i="5"/>
  <c r="K27" i="5"/>
  <c r="F27" i="5"/>
  <c r="F70" i="5"/>
  <c r="G33" i="5"/>
  <c r="P27" i="5"/>
  <c r="I32" i="5"/>
  <c r="Q50" i="5"/>
  <c r="AN16" i="5"/>
  <c r="Q39" i="5"/>
  <c r="AN9" i="5"/>
  <c r="J49" i="5"/>
  <c r="AN25" i="5"/>
  <c r="J19" i="5"/>
  <c r="K11" i="5"/>
  <c r="Q16" i="5"/>
  <c r="AN62" i="5"/>
  <c r="I47" i="5"/>
  <c r="BJ65" i="5"/>
  <c r="AN46" i="5"/>
  <c r="K17" i="5"/>
  <c r="G35" i="5"/>
  <c r="Q27" i="5"/>
  <c r="J15" i="5"/>
  <c r="K60" i="5"/>
  <c r="F55" i="5"/>
  <c r="J51" i="5"/>
  <c r="G45" i="5"/>
  <c r="Q14" i="5"/>
  <c r="I15" i="5"/>
  <c r="J40" i="5"/>
  <c r="K44" i="5"/>
  <c r="G11" i="5"/>
  <c r="J45" i="5"/>
  <c r="J12" i="5"/>
  <c r="K26" i="5"/>
  <c r="F65" i="5"/>
  <c r="AN56" i="5"/>
  <c r="K64" i="5"/>
  <c r="I24" i="5"/>
  <c r="BJ8" i="5"/>
  <c r="BJ31" i="5"/>
  <c r="G52" i="5"/>
  <c r="F34" i="5"/>
  <c r="AN67" i="5"/>
  <c r="K22" i="5"/>
  <c r="G44" i="5"/>
  <c r="K21" i="5"/>
  <c r="I68" i="5"/>
  <c r="I43" i="5"/>
  <c r="P22" i="5"/>
  <c r="Q29" i="5"/>
  <c r="BJ28" i="5"/>
  <c r="P60" i="5"/>
  <c r="P6" i="5"/>
  <c r="I10" i="5"/>
  <c r="J35" i="5"/>
  <c r="Q66" i="5"/>
  <c r="BJ51" i="5"/>
  <c r="P32" i="5"/>
  <c r="BJ43" i="5"/>
  <c r="AN65" i="5"/>
  <c r="G9" i="5"/>
  <c r="BJ54" i="5"/>
  <c r="I11" i="5"/>
  <c r="AN41" i="5"/>
  <c r="P44" i="5"/>
  <c r="BJ61" i="5"/>
  <c r="I27" i="5"/>
  <c r="AN60" i="5"/>
  <c r="F24" i="5"/>
  <c r="P62" i="5"/>
  <c r="P41" i="5"/>
  <c r="Q64" i="5"/>
  <c r="G39" i="5"/>
  <c r="G70" i="5"/>
  <c r="G17" i="5"/>
  <c r="I51" i="5"/>
  <c r="F22" i="5"/>
  <c r="AN38" i="5"/>
  <c r="I9" i="5"/>
  <c r="Q20" i="5"/>
  <c r="G63" i="5"/>
  <c r="G62" i="5"/>
  <c r="K65" i="5"/>
  <c r="F48" i="5"/>
  <c r="AN54" i="5"/>
  <c r="AN8" i="5"/>
  <c r="P20" i="5"/>
  <c r="K49" i="5"/>
  <c r="K66" i="5"/>
  <c r="P59" i="5"/>
  <c r="F30" i="5"/>
  <c r="AN14" i="5"/>
  <c r="K67" i="5"/>
  <c r="I33" i="5"/>
  <c r="Q52" i="5"/>
  <c r="F6" i="5"/>
  <c r="Q13" i="5"/>
  <c r="G47" i="5"/>
  <c r="K62" i="5"/>
  <c r="AN35" i="5"/>
  <c r="J36" i="5"/>
  <c r="F45" i="5"/>
  <c r="BJ37" i="5"/>
  <c r="Q67" i="5"/>
  <c r="J46" i="5"/>
  <c r="F56" i="5"/>
  <c r="BJ59" i="5"/>
  <c r="J34" i="5"/>
  <c r="P65" i="5"/>
  <c r="J69" i="5"/>
  <c r="I62" i="5"/>
  <c r="F11" i="5"/>
  <c r="I6" i="5"/>
  <c r="F33" i="5"/>
  <c r="BJ49" i="5"/>
  <c r="BJ58" i="5"/>
  <c r="I40" i="5"/>
  <c r="J20" i="5"/>
  <c r="K70" i="5"/>
  <c r="G8" i="5"/>
  <c r="F59" i="5"/>
  <c r="J31" i="5"/>
  <c r="F25" i="5"/>
  <c r="G14" i="5"/>
  <c r="J11" i="5"/>
  <c r="K54" i="5"/>
  <c r="AR33" i="7" l="1"/>
  <c r="H14" i="5"/>
  <c r="H8" i="5"/>
  <c r="M58" i="5"/>
  <c r="BK58" i="5"/>
  <c r="N58" i="5" s="1"/>
  <c r="M49" i="5"/>
  <c r="BK49" i="5"/>
  <c r="N49" i="5" s="1"/>
  <c r="M59" i="5"/>
  <c r="BK59" i="5"/>
  <c r="N59" i="5" s="1"/>
  <c r="M37" i="5"/>
  <c r="BK37" i="5"/>
  <c r="N37" i="5" s="1"/>
  <c r="L35" i="5"/>
  <c r="H47" i="5"/>
  <c r="L14" i="5"/>
  <c r="L8" i="5"/>
  <c r="L54" i="5"/>
  <c r="H62" i="5"/>
  <c r="H63" i="5"/>
  <c r="L38" i="5"/>
  <c r="H17" i="5"/>
  <c r="H70" i="5"/>
  <c r="H39" i="5"/>
  <c r="L60" i="5"/>
  <c r="M61" i="5"/>
  <c r="BK61" i="5"/>
  <c r="N61" i="5" s="1"/>
  <c r="L41" i="5"/>
  <c r="BK54" i="5"/>
  <c r="N54" i="5" s="1"/>
  <c r="M54" i="5"/>
  <c r="H9" i="5"/>
  <c r="L65" i="5"/>
  <c r="M43" i="5"/>
  <c r="BK43" i="5"/>
  <c r="N43" i="5" s="1"/>
  <c r="BK51" i="5"/>
  <c r="N51" i="5" s="1"/>
  <c r="M51" i="5"/>
  <c r="M28" i="5"/>
  <c r="BK28" i="5"/>
  <c r="N28" i="5" s="1"/>
  <c r="H44" i="5"/>
  <c r="L67" i="5"/>
  <c r="H52" i="5"/>
  <c r="M31" i="5"/>
  <c r="BK31" i="5"/>
  <c r="N31" i="5" s="1"/>
  <c r="M8" i="5"/>
  <c r="BK8" i="5"/>
  <c r="N8" i="5" s="1"/>
  <c r="L56" i="5"/>
  <c r="H11" i="5"/>
  <c r="H45" i="5"/>
  <c r="H35" i="5"/>
  <c r="L46" i="5"/>
  <c r="BK65" i="5"/>
  <c r="N65" i="5" s="1"/>
  <c r="M65" i="5"/>
  <c r="L62" i="5"/>
  <c r="L25" i="5"/>
  <c r="L9" i="5"/>
  <c r="L16" i="5"/>
  <c r="H33" i="5"/>
  <c r="L59" i="5"/>
  <c r="L66" i="5"/>
  <c r="L33" i="5"/>
  <c r="M52" i="5"/>
  <c r="BK52" i="5"/>
  <c r="N52" i="5" s="1"/>
  <c r="BK26" i="5"/>
  <c r="N26" i="5" s="1"/>
  <c r="M26" i="5"/>
  <c r="H67" i="5"/>
  <c r="BK16" i="5"/>
  <c r="N16" i="5" s="1"/>
  <c r="M16" i="5"/>
  <c r="H61" i="5"/>
  <c r="L15" i="5"/>
  <c r="BK60" i="5"/>
  <c r="N60" i="5" s="1"/>
  <c r="M60" i="5"/>
  <c r="L37" i="5"/>
  <c r="BK27" i="5"/>
  <c r="N27" i="5" s="1"/>
  <c r="M27" i="5"/>
  <c r="H56" i="5"/>
  <c r="L20" i="5"/>
  <c r="BK22" i="5"/>
  <c r="N22" i="5" s="1"/>
  <c r="M22" i="5"/>
  <c r="H59" i="5"/>
  <c r="H12" i="5"/>
  <c r="M46" i="5"/>
  <c r="BK46" i="5"/>
  <c r="N46" i="5" s="1"/>
  <c r="L52" i="5"/>
  <c r="L42" i="5"/>
  <c r="L34" i="5"/>
  <c r="M39" i="5"/>
  <c r="BK39" i="5"/>
  <c r="N39" i="5" s="1"/>
  <c r="BK68" i="5"/>
  <c r="N68" i="5" s="1"/>
  <c r="M68" i="5"/>
  <c r="H13" i="5"/>
  <c r="H25" i="5"/>
  <c r="M53" i="5"/>
  <c r="BK53" i="5"/>
  <c r="N53" i="5" s="1"/>
  <c r="M7" i="5"/>
  <c r="BK7" i="5"/>
  <c r="N7" i="5" s="1"/>
  <c r="L7" i="5"/>
  <c r="H16" i="5"/>
  <c r="BK36" i="5"/>
  <c r="N36" i="5" s="1"/>
  <c r="M36" i="5"/>
  <c r="BK64" i="5"/>
  <c r="N64" i="5" s="1"/>
  <c r="M64" i="5"/>
  <c r="L43" i="5"/>
  <c r="L12" i="5"/>
  <c r="H40" i="5"/>
  <c r="BK67" i="5"/>
  <c r="N67" i="5" s="1"/>
  <c r="M67" i="5"/>
  <c r="H49" i="5"/>
  <c r="L11" i="5"/>
  <c r="L17" i="5"/>
  <c r="BK66" i="5"/>
  <c r="N66" i="5" s="1"/>
  <c r="M66" i="5"/>
  <c r="L19" i="5"/>
  <c r="L24" i="5"/>
  <c r="H37" i="5"/>
  <c r="L39" i="5"/>
  <c r="H20" i="5"/>
  <c r="H55" i="5"/>
  <c r="BK57" i="5"/>
  <c r="N57" i="5" s="1"/>
  <c r="M57" i="5"/>
  <c r="M23" i="5"/>
  <c r="BK23" i="5"/>
  <c r="N23" i="5" s="1"/>
  <c r="BK38" i="5"/>
  <c r="N38" i="5" s="1"/>
  <c r="M38" i="5"/>
  <c r="H29" i="5"/>
  <c r="H27" i="5"/>
  <c r="L10" i="5"/>
  <c r="M34" i="5"/>
  <c r="BK34" i="5"/>
  <c r="N34" i="5" s="1"/>
  <c r="H42" i="5"/>
  <c r="BK55" i="5"/>
  <c r="N55" i="5" s="1"/>
  <c r="M55" i="5"/>
  <c r="L50" i="5"/>
  <c r="L68" i="5"/>
  <c r="BK19" i="5"/>
  <c r="N19" i="5" s="1"/>
  <c r="M19" i="5"/>
  <c r="L58" i="5"/>
  <c r="H30" i="5"/>
  <c r="L22" i="5"/>
  <c r="H68" i="5"/>
  <c r="L21" i="5"/>
  <c r="BK11" i="5"/>
  <c r="N11" i="5" s="1"/>
  <c r="M11" i="5"/>
  <c r="L57" i="5"/>
  <c r="M42" i="5"/>
  <c r="BK42" i="5"/>
  <c r="N42" i="5" s="1"/>
  <c r="H32" i="5"/>
  <c r="H6" i="5"/>
  <c r="H28" i="5"/>
  <c r="BK12" i="5"/>
  <c r="N12" i="5" s="1"/>
  <c r="M12" i="5"/>
  <c r="M6" i="5"/>
  <c r="BK6" i="5"/>
  <c r="N6" i="5" s="1"/>
  <c r="BK41" i="5"/>
  <c r="N41" i="5" s="1"/>
  <c r="M41" i="5"/>
  <c r="H57" i="5"/>
  <c r="L64" i="5"/>
  <c r="L55" i="5"/>
  <c r="H53" i="5"/>
  <c r="M14" i="5"/>
  <c r="BK14" i="5"/>
  <c r="N14" i="5" s="1"/>
  <c r="L31" i="5"/>
  <c r="M70" i="5"/>
  <c r="BK70" i="5"/>
  <c r="N70" i="5" s="1"/>
  <c r="H23" i="5"/>
  <c r="H69" i="5"/>
  <c r="L63" i="5"/>
  <c r="L45" i="5"/>
  <c r="L28" i="5"/>
  <c r="L30" i="5"/>
  <c r="BK69" i="5"/>
  <c r="N69" i="5" s="1"/>
  <c r="M69" i="5"/>
  <c r="L36" i="5"/>
  <c r="BK18" i="5"/>
  <c r="N18" i="5" s="1"/>
  <c r="M18" i="5"/>
  <c r="H48" i="5"/>
  <c r="M9" i="5"/>
  <c r="BK9" i="5"/>
  <c r="N9" i="5" s="1"/>
  <c r="M25" i="5"/>
  <c r="BK25" i="5"/>
  <c r="N25" i="5" s="1"/>
  <c r="BK63" i="5"/>
  <c r="N63" i="5" s="1"/>
  <c r="M63" i="5"/>
  <c r="H21" i="5"/>
  <c r="L69" i="5"/>
  <c r="H24" i="5"/>
  <c r="BK47" i="5"/>
  <c r="N47" i="5" s="1"/>
  <c r="M47" i="5"/>
  <c r="H31" i="5"/>
  <c r="H22" i="5"/>
  <c r="H41" i="5"/>
  <c r="H50" i="5"/>
  <c r="BK13" i="5"/>
  <c r="N13" i="5" s="1"/>
  <c r="M13" i="5"/>
  <c r="H60" i="5"/>
  <c r="H51" i="5"/>
  <c r="M33" i="5"/>
  <c r="BK33" i="5"/>
  <c r="N33" i="5" s="1"/>
  <c r="H65" i="5"/>
  <c r="BK17" i="5"/>
  <c r="N17" i="5" s="1"/>
  <c r="M17" i="5"/>
  <c r="L13" i="5"/>
  <c r="L23" i="5"/>
  <c r="BK30" i="5"/>
  <c r="N30" i="5" s="1"/>
  <c r="M30" i="5"/>
  <c r="H15" i="5"/>
  <c r="L27" i="5"/>
  <c r="L40" i="5"/>
  <c r="L51" i="5"/>
  <c r="H54" i="5"/>
  <c r="L61" i="5"/>
  <c r="M20" i="5"/>
  <c r="BK20" i="5"/>
  <c r="N20" i="5" s="1"/>
  <c r="BK56" i="5"/>
  <c r="N56" i="5" s="1"/>
  <c r="M56" i="5"/>
  <c r="L47" i="5"/>
  <c r="M15" i="5"/>
  <c r="BK15" i="5"/>
  <c r="N15" i="5" s="1"/>
  <c r="H58" i="5"/>
  <c r="BK10" i="5"/>
  <c r="N10" i="5" s="1"/>
  <c r="M10" i="5"/>
  <c r="L26" i="5"/>
  <c r="L18" i="5"/>
  <c r="BK44" i="5"/>
  <c r="N44" i="5" s="1"/>
  <c r="M44" i="5"/>
  <c r="H66" i="5"/>
  <c r="L44" i="5"/>
  <c r="L32" i="5"/>
  <c r="H7" i="5"/>
  <c r="M24" i="5"/>
  <c r="BK24" i="5"/>
  <c r="N24" i="5" s="1"/>
  <c r="L29" i="5"/>
  <c r="BK32" i="5"/>
  <c r="N32" i="5" s="1"/>
  <c r="M32" i="5"/>
  <c r="H38" i="5"/>
  <c r="H19" i="5"/>
  <c r="H43" i="5"/>
  <c r="H46" i="5"/>
  <c r="H36" i="5"/>
  <c r="L49" i="5"/>
  <c r="BK40" i="5"/>
  <c r="N40" i="5" s="1"/>
  <c r="M40" i="5"/>
  <c r="H10" i="5"/>
  <c r="BK50" i="5"/>
  <c r="N50" i="5" s="1"/>
  <c r="M50" i="5"/>
  <c r="H18" i="5"/>
  <c r="L70" i="5"/>
  <c r="H64" i="5"/>
  <c r="BK29" i="5"/>
  <c r="N29" i="5" s="1"/>
  <c r="M29" i="5"/>
  <c r="L48" i="5"/>
  <c r="BK62" i="5"/>
  <c r="N62" i="5" s="1"/>
  <c r="M62" i="5"/>
  <c r="L53" i="5"/>
  <c r="BK21" i="5"/>
  <c r="N21" i="5" s="1"/>
  <c r="M21" i="5"/>
  <c r="H26" i="5"/>
  <c r="M45" i="5"/>
  <c r="BK45" i="5"/>
  <c r="N45" i="5" s="1"/>
  <c r="H34" i="5"/>
  <c r="BK48" i="5"/>
  <c r="N48" i="5" s="1"/>
  <c r="M48" i="5"/>
  <c r="L6" i="5"/>
  <c r="BK35" i="5"/>
  <c r="N35" i="5" s="1"/>
  <c r="M35" i="5"/>
</calcChain>
</file>

<file path=xl/comments1.xml><?xml version="1.0" encoding="utf-8"?>
<comments xmlns="http://schemas.openxmlformats.org/spreadsheetml/2006/main">
  <authors>
    <author>Mark W. Isken</author>
  </authors>
  <commentList>
    <comment ref="N8" authorId="0">
      <text>
        <r>
          <rPr>
            <sz val="8"/>
            <color indexed="81"/>
            <rFont val="Tahoma"/>
            <family val="2"/>
          </rPr>
          <t xml:space="preserve">Total hours worked in 2 week period.
</t>
        </r>
      </text>
    </comment>
    <comment ref="O8" authorId="0">
      <text>
        <r>
          <rPr>
            <b/>
            <sz val="8"/>
            <color indexed="81"/>
            <rFont val="Tahoma"/>
            <family val="2"/>
          </rPr>
          <t>Enter as a label, the number of hours which can be worked in either week. If more than one, separate by #.</t>
        </r>
        <r>
          <rPr>
            <sz val="8"/>
            <color indexed="81"/>
            <rFont val="Tahoma"/>
            <family val="2"/>
          </rPr>
          <t xml:space="preserve">
Example: 36#48</t>
        </r>
      </text>
    </comment>
  </commentList>
</comments>
</file>

<file path=xl/sharedStrings.xml><?xml version="1.0" encoding="utf-8"?>
<sst xmlns="http://schemas.openxmlformats.org/spreadsheetml/2006/main" count="1225" uniqueCount="135">
  <si>
    <t>Overview of EurekaX - A Staff Scheduling Tool for Microsoft Excel</t>
  </si>
  <si>
    <t>Sheets</t>
  </si>
  <si>
    <t>Description</t>
  </si>
  <si>
    <t>README</t>
  </si>
  <si>
    <t>This sheet.</t>
  </si>
  <si>
    <t>Tour</t>
  </si>
  <si>
    <t>The weekly schedules.</t>
  </si>
  <si>
    <t>Coverage</t>
  </si>
  <si>
    <t>Half-hourly comparison of target and actual staffing levels.</t>
  </si>
  <si>
    <t>Coverage_Hourly</t>
  </si>
  <si>
    <t>An hourly version of the above. Just used formulas based on the half-hourly coverage.</t>
  </si>
  <si>
    <t>Summaries</t>
  </si>
  <si>
    <t>Various staffing summary statistics.</t>
  </si>
  <si>
    <t>Utility</t>
  </si>
  <si>
    <t>Various utility tables.</t>
  </si>
  <si>
    <t>B</t>
  </si>
  <si>
    <t>TT</t>
  </si>
  <si>
    <t>Tour type number. This number is related to one of the input files for the integer program.</t>
  </si>
  <si>
    <t>C</t>
  </si>
  <si>
    <t>Pos</t>
  </si>
  <si>
    <t>Just a field to put a position number (ie sequential numbering of the tours).</t>
  </si>
  <si>
    <t>D</t>
  </si>
  <si>
    <t>E</t>
  </si>
  <si>
    <t>Nurse</t>
  </si>
  <si>
    <t>F</t>
  </si>
  <si>
    <t>Length</t>
  </si>
  <si>
    <t>The maximum shift length in the tour.</t>
  </si>
  <si>
    <t>G</t>
  </si>
  <si>
    <t>Shifts</t>
  </si>
  <si>
    <t>The number of shifts worked in the tour.</t>
  </si>
  <si>
    <t>H</t>
  </si>
  <si>
    <t>A table lookup based on TT that provides an easy way to manage tour descriptors.</t>
  </si>
  <si>
    <t>The tables used for lookups are on the Utility sheet.</t>
  </si>
  <si>
    <t>Sunday</t>
  </si>
  <si>
    <t>Monday</t>
  </si>
  <si>
    <t>Tuesday</t>
  </si>
  <si>
    <t>Wednesday</t>
  </si>
  <si>
    <t>Thursday</t>
  </si>
  <si>
    <t>Friday</t>
  </si>
  <si>
    <t>Saturday</t>
  </si>
  <si>
    <t>Hrs</t>
  </si>
  <si>
    <t>Tot</t>
  </si>
  <si>
    <t>Off</t>
  </si>
  <si>
    <t>-</t>
  </si>
  <si>
    <t>Scenario:</t>
  </si>
  <si>
    <t>Target</t>
  </si>
  <si>
    <t>Sched</t>
  </si>
  <si>
    <t>+/-</t>
  </si>
  <si>
    <t>Total</t>
  </si>
  <si>
    <t>Grand Total</t>
  </si>
  <si>
    <t>Efficiency</t>
  </si>
  <si>
    <t>Half-hour Selector Control</t>
  </si>
  <si>
    <t>TourStyle</t>
  </si>
  <si>
    <t>HalfHours</t>
  </si>
  <si>
    <t>Selected</t>
  </si>
  <si>
    <t>Half Hour</t>
  </si>
  <si>
    <t>Tour Type 2Week Hours</t>
  </si>
  <si>
    <t>Tour Type by Nurse Summary (Pivot Table)</t>
  </si>
  <si>
    <t>Scheduling Efficiency Summary</t>
  </si>
  <si>
    <t>Hours</t>
  </si>
  <si>
    <t>FTEs</t>
  </si>
  <si>
    <t>Total Demand</t>
  </si>
  <si>
    <t>Total Scheduled</t>
  </si>
  <si>
    <t>MinStart</t>
  </si>
  <si>
    <t>MaxStart</t>
  </si>
  <si>
    <t>Work</t>
  </si>
  <si>
    <t>MidnightWeekendThreshold</t>
  </si>
  <si>
    <t>Wkend</t>
  </si>
  <si>
    <t>Week:</t>
  </si>
  <si>
    <t>Count of TT</t>
  </si>
  <si>
    <t>StartDiff</t>
  </si>
  <si>
    <t>W1 Hrs</t>
  </si>
  <si>
    <t>W2 Hrs</t>
  </si>
  <si>
    <t>pair</t>
  </si>
  <si>
    <t>Sunday - 1</t>
  </si>
  <si>
    <t>Monday - 2</t>
  </si>
  <si>
    <t>Monday - 1</t>
  </si>
  <si>
    <t>Tuesday - 1</t>
  </si>
  <si>
    <t>Wednesday - 1</t>
  </si>
  <si>
    <t>Thursday - 1</t>
  </si>
  <si>
    <t>Friday - 1</t>
  </si>
  <si>
    <t>Saturday - 1</t>
  </si>
  <si>
    <t>Tuesday - 2</t>
  </si>
  <si>
    <t>Wednesday - 2</t>
  </si>
  <si>
    <t>Thursday - 2</t>
  </si>
  <si>
    <t>Friday - 2</t>
  </si>
  <si>
    <t>Saturday - 2</t>
  </si>
  <si>
    <t>Sunday - 2</t>
  </si>
  <si>
    <t>Start Time by Tour Type by Nurse Summary (Pivot Table)</t>
  </si>
  <si>
    <t>Buddy</t>
  </si>
  <si>
    <t>Pair</t>
  </si>
  <si>
    <t>I</t>
  </si>
  <si>
    <t>J</t>
  </si>
  <si>
    <t>K</t>
  </si>
  <si>
    <t>L</t>
  </si>
  <si>
    <t>M</t>
  </si>
  <si>
    <t>N</t>
  </si>
  <si>
    <t>O</t>
  </si>
  <si>
    <t>P</t>
  </si>
  <si>
    <t>Q</t>
  </si>
  <si>
    <t>R</t>
  </si>
  <si>
    <t>I use this when creating pairs of buddies for weekend rotation.</t>
  </si>
  <si>
    <t>I use this to indicate each buddy of the pair.</t>
  </si>
  <si>
    <t>W1 Hours</t>
  </si>
  <si>
    <t>W2 Hours</t>
  </si>
  <si>
    <t>Earliest start time in the tour.</t>
  </si>
  <si>
    <t>Latest start time in the tour.</t>
  </si>
  <si>
    <t>Difference in hours between MaxStart and MinStart.</t>
  </si>
  <si>
    <t>Maximum workstretch in days.</t>
  </si>
  <si>
    <t>Maximum days off stretch in days.</t>
  </si>
  <si>
    <t>Number of weekend days worked in the tour.</t>
  </si>
  <si>
    <t>Number of hours worked in week 1.</t>
  </si>
  <si>
    <t>Number of total hours worked in two week tour.</t>
  </si>
  <si>
    <t>Description 2</t>
  </si>
  <si>
    <t>Description 1</t>
  </si>
  <si>
    <t>Unit 1, Scenario 1</t>
  </si>
  <si>
    <t>(8,5)</t>
  </si>
  <si>
    <t>(12,3)</t>
  </si>
  <si>
    <t>(12,4)</t>
  </si>
  <si>
    <t>(10,4)</t>
  </si>
  <si>
    <t>Week 1 - Unit 1, Scenario 1</t>
  </si>
  <si>
    <t>Weekly Shift (to be paired with 2nd week shift)</t>
  </si>
  <si>
    <t xml:space="preserve">Total </t>
  </si>
  <si>
    <t>ID</t>
  </si>
  <si>
    <t>44#36</t>
  </si>
  <si>
    <t>(8,1)</t>
  </si>
  <si>
    <t>16#24#32</t>
  </si>
  <si>
    <t>FT12</t>
  </si>
  <si>
    <t>PT4</t>
  </si>
  <si>
    <t>FT10</t>
  </si>
  <si>
    <t>PT10</t>
  </si>
  <si>
    <t>GS12</t>
  </si>
  <si>
    <t>PT8</t>
  </si>
  <si>
    <t>48#36</t>
  </si>
  <si>
    <t>8#12#16#20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</si>
</sst>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mma/p"/>
    <numFmt numFmtId="165" formatCode="0;[Red]\-0;;"/>
    <numFmt numFmtId="166" formatCode="0.0%"/>
    <numFmt numFmtId="167" formatCode="\+0.0%"/>
    <numFmt numFmtId="168" formatCode="0;[Red]\-0.0;;"/>
  </numFmts>
  <fonts count="18" x14ac:knownFonts="1">
    <font>
      <sz val="10"/>
      <name val="Arial"/>
    </font>
    <font>
      <sz val="10"/>
      <name val="Arial"/>
      <family val="2"/>
    </font>
    <font>
      <sz val="10"/>
      <name val="Times New Roman"/>
      <family val="1"/>
    </font>
    <font>
      <sz val="14"/>
      <name val="Times New Roman"/>
      <family val="1"/>
    </font>
    <font>
      <b/>
      <u/>
      <sz val="10"/>
      <name val="Times New Roman"/>
      <family val="1"/>
    </font>
    <font>
      <b/>
      <u/>
      <sz val="14"/>
      <name val="Times New Roman"/>
      <family val="1"/>
    </font>
    <font>
      <b/>
      <sz val="12"/>
      <name val="Times New Roman"/>
      <family val="1"/>
    </font>
    <font>
      <b/>
      <sz val="10"/>
      <name val="Times New Roman"/>
      <family val="1"/>
    </font>
    <font>
      <b/>
      <sz val="10"/>
      <name val="Times New Roman"/>
      <family val="1"/>
    </font>
    <font>
      <b/>
      <sz val="14"/>
      <name val="Times New Roman"/>
      <family val="1"/>
    </font>
    <font>
      <b/>
      <sz val="9"/>
      <name val="Times New Roman"/>
      <family val="1"/>
    </font>
    <font>
      <sz val="10"/>
      <name val="Times New Roman"/>
      <family val="1"/>
    </font>
    <font>
      <sz val="12"/>
      <name val="Times New Roman"/>
      <family val="1"/>
    </font>
    <font>
      <sz val="12"/>
      <name val="Arial"/>
      <family val="2"/>
    </font>
    <font>
      <sz val="8"/>
      <color indexed="81"/>
      <name val="Tahoma"/>
      <family val="2"/>
    </font>
    <font>
      <b/>
      <sz val="8"/>
      <color indexed="81"/>
      <name val="Tahoma"/>
      <family val="2"/>
    </font>
    <font>
      <sz val="8"/>
      <name val="Arial"/>
      <family val="2"/>
    </font>
    <font>
      <b/>
      <sz val="10"/>
      <name val="Arial"/>
      <family val="2"/>
    </font>
  </fonts>
  <fills count="6">
    <fill>
      <patternFill patternType="none"/>
    </fill>
    <fill>
      <patternFill patternType="gray125"/>
    </fill>
    <fill>
      <patternFill patternType="solid">
        <fgColor indexed="42"/>
        <bgColor indexed="64"/>
      </patternFill>
    </fill>
    <fill>
      <patternFill patternType="solid">
        <fgColor indexed="26"/>
        <bgColor indexed="64"/>
      </patternFill>
    </fill>
    <fill>
      <patternFill patternType="solid">
        <fgColor indexed="29"/>
        <bgColor indexed="64"/>
      </patternFill>
    </fill>
    <fill>
      <patternFill patternType="solid">
        <fgColor indexed="44"/>
        <bgColor indexed="64"/>
      </patternFill>
    </fill>
  </fills>
  <borders count="5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bottom/>
      <diagonal/>
    </border>
    <border>
      <left style="thin">
        <color indexed="8"/>
      </left>
      <right style="thin">
        <color indexed="8"/>
      </right>
      <top style="thin">
        <color indexed="65"/>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right/>
      <top style="thin">
        <color indexed="8"/>
      </top>
      <bottom/>
      <diagonal/>
    </border>
    <border>
      <left/>
      <right/>
      <top style="thin">
        <color indexed="8"/>
      </top>
      <bottom style="thin">
        <color indexed="8"/>
      </bottom>
      <diagonal/>
    </border>
  </borders>
  <cellStyleXfs count="6">
    <xf numFmtId="0" fontId="0" fillId="0" borderId="0"/>
    <xf numFmtId="0" fontId="2" fillId="0" borderId="0"/>
    <xf numFmtId="0" fontId="2" fillId="0" borderId="0"/>
    <xf numFmtId="0" fontId="2" fillId="0" borderId="0"/>
    <xf numFmtId="9" fontId="1" fillId="0" borderId="0" applyFont="0" applyFill="0" applyBorder="0" applyAlignment="0" applyProtection="0"/>
    <xf numFmtId="164" fontId="2" fillId="0" borderId="1"/>
  </cellStyleXfs>
  <cellXfs count="197">
    <xf numFmtId="0" fontId="0" fillId="0" borderId="0" xfId="0"/>
    <xf numFmtId="0" fontId="3" fillId="0" borderId="0" xfId="2" applyFont="1"/>
    <xf numFmtId="0" fontId="2" fillId="0" borderId="0" xfId="2"/>
    <xf numFmtId="0" fontId="4" fillId="0" borderId="0" xfId="2" applyFont="1" applyAlignment="1">
      <alignment horizontal="center"/>
    </xf>
    <xf numFmtId="0" fontId="4" fillId="0" borderId="0" xfId="2" applyFont="1" applyAlignment="1">
      <alignment horizontal="left"/>
    </xf>
    <xf numFmtId="0" fontId="5" fillId="0" borderId="0" xfId="2" applyFont="1"/>
    <xf numFmtId="0" fontId="2" fillId="2" borderId="2" xfId="2" applyFill="1" applyBorder="1"/>
    <xf numFmtId="0" fontId="2" fillId="0" borderId="3" xfId="2" applyFill="1" applyBorder="1"/>
    <xf numFmtId="0" fontId="2" fillId="0" borderId="4" xfId="2" applyFill="1" applyBorder="1"/>
    <xf numFmtId="0" fontId="2" fillId="0" borderId="5" xfId="2" applyFill="1" applyBorder="1"/>
    <xf numFmtId="0" fontId="2" fillId="2" borderId="0" xfId="2" applyFill="1"/>
    <xf numFmtId="0" fontId="2" fillId="0" borderId="6" xfId="2" applyFill="1" applyBorder="1"/>
    <xf numFmtId="0" fontId="2" fillId="0" borderId="0" xfId="2" applyFill="1" applyBorder="1"/>
    <xf numFmtId="0" fontId="2" fillId="0" borderId="7" xfId="2" applyFill="1" applyBorder="1"/>
    <xf numFmtId="18" fontId="2" fillId="0" borderId="0" xfId="2" applyNumberFormat="1"/>
    <xf numFmtId="0" fontId="6" fillId="2" borderId="0" xfId="2" applyFont="1" applyFill="1" applyAlignment="1">
      <alignment horizontal="centerContinuous"/>
    </xf>
    <xf numFmtId="0" fontId="2" fillId="2" borderId="0" xfId="2" applyFill="1" applyAlignment="1">
      <alignment horizontal="centerContinuous"/>
    </xf>
    <xf numFmtId="0" fontId="2" fillId="0" borderId="8" xfId="2" applyFill="1" applyBorder="1"/>
    <xf numFmtId="0" fontId="2" fillId="0" borderId="9" xfId="2" applyFill="1" applyBorder="1"/>
    <xf numFmtId="0" fontId="2" fillId="0" borderId="10" xfId="2" applyFill="1" applyBorder="1"/>
    <xf numFmtId="0" fontId="7" fillId="2" borderId="2" xfId="2" applyFont="1" applyFill="1" applyBorder="1" applyAlignment="1">
      <alignment horizontal="center"/>
    </xf>
    <xf numFmtId="0" fontId="8" fillId="2" borderId="11" xfId="2" applyFont="1" applyFill="1" applyBorder="1" applyAlignment="1">
      <alignment horizontal="centerContinuous"/>
    </xf>
    <xf numFmtId="0" fontId="8" fillId="2" borderId="1" xfId="2" applyFont="1" applyFill="1" applyBorder="1" applyAlignment="1">
      <alignment horizontal="centerContinuous"/>
    </xf>
    <xf numFmtId="0" fontId="7" fillId="2" borderId="12" xfId="2" applyFont="1" applyFill="1" applyBorder="1" applyAlignment="1">
      <alignment horizontal="center"/>
    </xf>
    <xf numFmtId="1" fontId="2" fillId="0" borderId="2" xfId="2" applyNumberFormat="1" applyBorder="1" applyAlignment="1">
      <alignment horizontal="center"/>
    </xf>
    <xf numFmtId="164" fontId="2" fillId="0" borderId="13" xfId="2" applyNumberFormat="1" applyBorder="1" applyAlignment="1">
      <alignment horizontal="right" vertical="center"/>
    </xf>
    <xf numFmtId="0" fontId="2" fillId="0" borderId="2" xfId="2" applyBorder="1" applyAlignment="1">
      <alignment horizontal="center"/>
    </xf>
    <xf numFmtId="164" fontId="2" fillId="0" borderId="11" xfId="2" applyNumberFormat="1" applyBorder="1" applyAlignment="1">
      <alignment horizontal="center" vertical="center"/>
    </xf>
    <xf numFmtId="164" fontId="2" fillId="0" borderId="1" xfId="2" applyNumberFormat="1" applyBorder="1" applyAlignment="1">
      <alignment horizontal="left" vertical="center"/>
    </xf>
    <xf numFmtId="164" fontId="2" fillId="0" borderId="11" xfId="2" applyNumberFormat="1" applyBorder="1" applyAlignment="1">
      <alignment horizontal="right" vertical="center"/>
    </xf>
    <xf numFmtId="0" fontId="2" fillId="0" borderId="12" xfId="2" applyFill="1" applyBorder="1" applyAlignment="1">
      <alignment horizontal="center"/>
    </xf>
    <xf numFmtId="0" fontId="2" fillId="0" borderId="0" xfId="2" applyAlignment="1">
      <alignment horizontal="center"/>
    </xf>
    <xf numFmtId="0" fontId="2" fillId="0" borderId="0" xfId="2" applyBorder="1"/>
    <xf numFmtId="0" fontId="9" fillId="0" borderId="0" xfId="2" applyFont="1"/>
    <xf numFmtId="0" fontId="7" fillId="2" borderId="14" xfId="2" applyFont="1" applyFill="1" applyBorder="1" applyAlignment="1">
      <alignment horizontal="centerContinuous"/>
    </xf>
    <xf numFmtId="0" fontId="7" fillId="2" borderId="15" xfId="2" applyFont="1" applyFill="1" applyBorder="1" applyAlignment="1">
      <alignment horizontal="centerContinuous"/>
    </xf>
    <xf numFmtId="0" fontId="7" fillId="2" borderId="16" xfId="2" applyFont="1" applyFill="1" applyBorder="1" applyAlignment="1">
      <alignment horizontal="centerContinuous"/>
    </xf>
    <xf numFmtId="0" fontId="7" fillId="0" borderId="15" xfId="2" applyFont="1" applyBorder="1" applyAlignment="1">
      <alignment horizontal="centerContinuous"/>
    </xf>
    <xf numFmtId="0" fontId="7" fillId="0" borderId="16" xfId="2" applyFont="1" applyBorder="1" applyAlignment="1">
      <alignment horizontal="centerContinuous"/>
    </xf>
    <xf numFmtId="0" fontId="2" fillId="0" borderId="17" xfId="2" applyBorder="1"/>
    <xf numFmtId="0" fontId="10" fillId="2" borderId="18" xfId="2" applyFont="1" applyFill="1" applyBorder="1" applyAlignment="1">
      <alignment horizontal="center"/>
    </xf>
    <xf numFmtId="0" fontId="10" fillId="2" borderId="19" xfId="2" applyFont="1" applyFill="1" applyBorder="1" applyAlignment="1">
      <alignment horizontal="center"/>
    </xf>
    <xf numFmtId="0" fontId="10" fillId="2" borderId="20" xfId="2" quotePrefix="1" applyFont="1" applyFill="1" applyBorder="1" applyAlignment="1">
      <alignment horizontal="center"/>
    </xf>
    <xf numFmtId="0" fontId="10" fillId="0" borderId="21" xfId="2" applyFont="1" applyBorder="1" applyAlignment="1">
      <alignment horizontal="center"/>
    </xf>
    <xf numFmtId="0" fontId="10" fillId="0" borderId="19" xfId="2" applyFont="1" applyBorder="1" applyAlignment="1">
      <alignment horizontal="center"/>
    </xf>
    <xf numFmtId="0" fontId="10" fillId="0" borderId="20" xfId="2" quotePrefix="1" applyFont="1" applyBorder="1" applyAlignment="1">
      <alignment horizontal="center"/>
    </xf>
    <xf numFmtId="0" fontId="10" fillId="2" borderId="21" xfId="2" applyFont="1" applyFill="1" applyBorder="1" applyAlignment="1">
      <alignment horizontal="center"/>
    </xf>
    <xf numFmtId="18" fontId="2" fillId="0" borderId="22" xfId="2" applyNumberFormat="1" applyBorder="1"/>
    <xf numFmtId="0" fontId="2" fillId="2" borderId="10" xfId="2" applyFill="1" applyBorder="1" applyAlignment="1">
      <alignment horizontal="center"/>
    </xf>
    <xf numFmtId="0" fontId="2" fillId="2" borderId="23" xfId="2" applyFill="1" applyBorder="1" applyAlignment="1">
      <alignment horizontal="center"/>
    </xf>
    <xf numFmtId="165" fontId="2" fillId="2" borderId="24" xfId="2" applyNumberFormat="1" applyFill="1" applyBorder="1" applyAlignment="1">
      <alignment horizontal="center"/>
    </xf>
    <xf numFmtId="0" fontId="2" fillId="0" borderId="10" xfId="2" applyBorder="1" applyAlignment="1">
      <alignment horizontal="center"/>
    </xf>
    <xf numFmtId="0" fontId="2" fillId="0" borderId="23" xfId="2" applyBorder="1" applyAlignment="1">
      <alignment horizontal="center"/>
    </xf>
    <xf numFmtId="165" fontId="2" fillId="0" borderId="24" xfId="2" applyNumberFormat="1" applyBorder="1" applyAlignment="1">
      <alignment horizontal="center"/>
    </xf>
    <xf numFmtId="18" fontId="2" fillId="0" borderId="25" xfId="2" applyNumberFormat="1" applyBorder="1"/>
    <xf numFmtId="0" fontId="2" fillId="2" borderId="1" xfId="2" applyFill="1" applyBorder="1" applyAlignment="1">
      <alignment horizontal="center"/>
    </xf>
    <xf numFmtId="0" fontId="2" fillId="2" borderId="2" xfId="2" applyFill="1" applyBorder="1" applyAlignment="1">
      <alignment horizontal="center"/>
    </xf>
    <xf numFmtId="165" fontId="2" fillId="2" borderId="26" xfId="2" applyNumberFormat="1" applyFill="1" applyBorder="1" applyAlignment="1">
      <alignment horizontal="center"/>
    </xf>
    <xf numFmtId="0" fontId="2" fillId="0" borderId="1" xfId="2" applyBorder="1" applyAlignment="1">
      <alignment horizontal="center"/>
    </xf>
    <xf numFmtId="165" fontId="2" fillId="0" borderId="26" xfId="2" applyNumberFormat="1" applyBorder="1" applyAlignment="1">
      <alignment horizontal="center"/>
    </xf>
    <xf numFmtId="18" fontId="2" fillId="0" borderId="27" xfId="2" applyNumberFormat="1" applyBorder="1"/>
    <xf numFmtId="0" fontId="2" fillId="2" borderId="18" xfId="2" applyFill="1" applyBorder="1" applyAlignment="1">
      <alignment horizontal="center"/>
    </xf>
    <xf numFmtId="0" fontId="2" fillId="2" borderId="19" xfId="2" applyFill="1" applyBorder="1" applyAlignment="1">
      <alignment horizontal="center"/>
    </xf>
    <xf numFmtId="165" fontId="2" fillId="2" borderId="20" xfId="2" applyNumberFormat="1" applyFill="1" applyBorder="1" applyAlignment="1">
      <alignment horizontal="center"/>
    </xf>
    <xf numFmtId="0" fontId="2" fillId="0" borderId="21" xfId="2" applyBorder="1" applyAlignment="1">
      <alignment horizontal="center"/>
    </xf>
    <xf numFmtId="0" fontId="2" fillId="0" borderId="19" xfId="2" applyBorder="1" applyAlignment="1">
      <alignment horizontal="center"/>
    </xf>
    <xf numFmtId="165" fontId="2" fillId="0" borderId="20" xfId="2" applyNumberFormat="1" applyBorder="1" applyAlignment="1">
      <alignment horizontal="center"/>
    </xf>
    <xf numFmtId="0" fontId="2" fillId="2" borderId="21" xfId="2" applyFill="1" applyBorder="1" applyAlignment="1">
      <alignment horizontal="center"/>
    </xf>
    <xf numFmtId="18" fontId="2" fillId="0" borderId="27" xfId="2" applyNumberFormat="1" applyBorder="1" applyAlignment="1">
      <alignment horizontal="center"/>
    </xf>
    <xf numFmtId="0" fontId="7" fillId="0" borderId="0" xfId="2" applyFont="1"/>
    <xf numFmtId="0" fontId="2" fillId="0" borderId="28" xfId="2" applyFill="1" applyBorder="1" applyAlignment="1">
      <alignment horizontal="center"/>
    </xf>
    <xf numFmtId="0" fontId="2" fillId="0" borderId="29" xfId="2" applyFill="1" applyBorder="1" applyAlignment="1">
      <alignment horizontal="center"/>
    </xf>
    <xf numFmtId="165" fontId="2" fillId="0" borderId="30" xfId="2" applyNumberFormat="1" applyFill="1" applyBorder="1" applyAlignment="1">
      <alignment horizontal="center"/>
    </xf>
    <xf numFmtId="9" fontId="2" fillId="0" borderId="31" xfId="4" applyFont="1" applyBorder="1" applyAlignment="1">
      <alignment horizontal="center"/>
    </xf>
    <xf numFmtId="0" fontId="2" fillId="0" borderId="0" xfId="3"/>
    <xf numFmtId="0" fontId="2" fillId="3" borderId="32" xfId="3" applyFill="1" applyBorder="1"/>
    <xf numFmtId="0" fontId="2" fillId="3" borderId="0" xfId="3" applyFill="1" applyBorder="1"/>
    <xf numFmtId="0" fontId="2" fillId="3" borderId="17" xfId="3" applyFill="1" applyBorder="1"/>
    <xf numFmtId="0" fontId="8" fillId="3" borderId="31" xfId="3" applyFont="1" applyFill="1" applyBorder="1" applyAlignment="1">
      <alignment horizontal="center"/>
    </xf>
    <xf numFmtId="0" fontId="7" fillId="3" borderId="33" xfId="3" applyFont="1" applyFill="1" applyBorder="1" applyAlignment="1">
      <alignment horizontal="center"/>
    </xf>
    <xf numFmtId="0" fontId="2" fillId="0" borderId="2" xfId="3" applyBorder="1"/>
    <xf numFmtId="18" fontId="2" fillId="0" borderId="2" xfId="3" applyNumberFormat="1" applyBorder="1"/>
    <xf numFmtId="164" fontId="2" fillId="0" borderId="13" xfId="3" applyNumberFormat="1" applyBorder="1" applyAlignment="1">
      <alignment horizontal="right" vertical="center"/>
    </xf>
    <xf numFmtId="164" fontId="2" fillId="0" borderId="11" xfId="3" applyNumberFormat="1" applyBorder="1" applyAlignment="1">
      <alignment horizontal="center" vertical="center"/>
    </xf>
    <xf numFmtId="164" fontId="2" fillId="0" borderId="1" xfId="3" applyNumberFormat="1" applyBorder="1" applyAlignment="1">
      <alignment horizontal="left" vertical="center"/>
    </xf>
    <xf numFmtId="164" fontId="2" fillId="0" borderId="11" xfId="3" applyNumberFormat="1" applyBorder="1" applyAlignment="1">
      <alignment horizontal="right" vertical="center"/>
    </xf>
    <xf numFmtId="18" fontId="2" fillId="3" borderId="33" xfId="3" applyNumberFormat="1" applyFill="1" applyBorder="1" applyAlignment="1">
      <alignment horizontal="center"/>
    </xf>
    <xf numFmtId="164" fontId="2" fillId="3" borderId="0" xfId="3" applyNumberFormat="1" applyFill="1" applyBorder="1"/>
    <xf numFmtId="0" fontId="7" fillId="3" borderId="34" xfId="3" applyFont="1" applyFill="1" applyBorder="1" applyAlignment="1">
      <alignment horizontal="center"/>
    </xf>
    <xf numFmtId="18" fontId="2" fillId="3" borderId="35" xfId="3" applyNumberFormat="1" applyFill="1" applyBorder="1" applyAlignment="1">
      <alignment horizontal="center"/>
    </xf>
    <xf numFmtId="0" fontId="2" fillId="3" borderId="36" xfId="3" applyFill="1" applyBorder="1" applyAlignment="1">
      <alignment horizontal="center"/>
    </xf>
    <xf numFmtId="0" fontId="8" fillId="3" borderId="31" xfId="3" applyFont="1" applyFill="1" applyBorder="1" applyAlignment="1">
      <alignment horizontal="left"/>
    </xf>
    <xf numFmtId="0" fontId="7" fillId="3" borderId="37" xfId="3" applyFont="1" applyFill="1" applyBorder="1"/>
    <xf numFmtId="0" fontId="2" fillId="3" borderId="38" xfId="3" applyFill="1" applyBorder="1"/>
    <xf numFmtId="18" fontId="2" fillId="3" borderId="36" xfId="3" applyNumberFormat="1" applyFill="1" applyBorder="1" applyAlignment="1">
      <alignment horizontal="center"/>
    </xf>
    <xf numFmtId="0" fontId="2" fillId="3" borderId="39" xfId="3" applyFill="1" applyBorder="1"/>
    <xf numFmtId="0" fontId="2" fillId="3" borderId="40" xfId="3" applyFill="1" applyBorder="1"/>
    <xf numFmtId="0" fontId="2" fillId="3" borderId="41" xfId="3" applyFill="1" applyBorder="1"/>
    <xf numFmtId="18" fontId="2" fillId="0" borderId="0" xfId="2" applyNumberFormat="1" applyFill="1" applyBorder="1"/>
    <xf numFmtId="0" fontId="2" fillId="0" borderId="0" xfId="1"/>
    <xf numFmtId="0" fontId="9" fillId="0" borderId="0" xfId="1" applyFont="1"/>
    <xf numFmtId="0" fontId="7" fillId="0" borderId="0" xfId="1" applyFont="1" applyAlignment="1">
      <alignment horizontal="center"/>
    </xf>
    <xf numFmtId="0" fontId="7" fillId="0" borderId="0" xfId="1" applyFont="1"/>
    <xf numFmtId="0" fontId="2" fillId="0" borderId="42" xfId="1" applyBorder="1"/>
    <xf numFmtId="0" fontId="7" fillId="0" borderId="42" xfId="1" applyFont="1" applyBorder="1" applyAlignment="1">
      <alignment horizontal="center"/>
    </xf>
    <xf numFmtId="0" fontId="2" fillId="0" borderId="0" xfId="1" applyAlignment="1">
      <alignment horizontal="center"/>
    </xf>
    <xf numFmtId="2" fontId="2" fillId="0" borderId="0" xfId="1" applyNumberFormat="1" applyAlignment="1">
      <alignment horizontal="center"/>
    </xf>
    <xf numFmtId="0" fontId="7" fillId="0" borderId="40" xfId="1" applyFont="1" applyBorder="1"/>
    <xf numFmtId="0" fontId="2" fillId="0" borderId="40" xfId="1" applyBorder="1"/>
    <xf numFmtId="0" fontId="2" fillId="0" borderId="40" xfId="1" applyBorder="1" applyAlignment="1">
      <alignment horizontal="center"/>
    </xf>
    <xf numFmtId="2" fontId="2" fillId="0" borderId="40" xfId="1" applyNumberFormat="1" applyBorder="1" applyAlignment="1">
      <alignment horizontal="center"/>
    </xf>
    <xf numFmtId="167" fontId="2" fillId="0" borderId="40" xfId="4" applyNumberFormat="1" applyFont="1" applyBorder="1" applyAlignment="1">
      <alignment horizontal="center"/>
    </xf>
    <xf numFmtId="164" fontId="2" fillId="0" borderId="13" xfId="2" applyNumberFormat="1" applyBorder="1" applyAlignment="1">
      <alignment horizontal="center" vertical="center"/>
    </xf>
    <xf numFmtId="18" fontId="2" fillId="0" borderId="31" xfId="3" applyNumberFormat="1" applyBorder="1"/>
    <xf numFmtId="0" fontId="2" fillId="0" borderId="0" xfId="2" applyFont="1" applyAlignment="1">
      <alignment horizontal="center"/>
    </xf>
    <xf numFmtId="0" fontId="7" fillId="0" borderId="0" xfId="2" applyFont="1" applyAlignment="1">
      <alignment horizontal="center"/>
    </xf>
    <xf numFmtId="1" fontId="2" fillId="0" borderId="13" xfId="2" applyNumberFormat="1" applyBorder="1" applyAlignment="1">
      <alignment horizontal="center" vertical="center"/>
    </xf>
    <xf numFmtId="20" fontId="2" fillId="0" borderId="13" xfId="2" applyNumberFormat="1" applyBorder="1" applyAlignment="1">
      <alignment horizontal="center" vertical="center"/>
    </xf>
    <xf numFmtId="0" fontId="0" fillId="0" borderId="43" xfId="0" applyBorder="1"/>
    <xf numFmtId="0" fontId="0" fillId="0" borderId="44" xfId="0" applyBorder="1"/>
    <xf numFmtId="0" fontId="0" fillId="0" borderId="43" xfId="0" applyNumberFormat="1" applyBorder="1"/>
    <xf numFmtId="0" fontId="0" fillId="0" borderId="44" xfId="0" applyNumberFormat="1" applyBorder="1"/>
    <xf numFmtId="0" fontId="0" fillId="0" borderId="45" xfId="0" applyNumberFormat="1" applyBorder="1"/>
    <xf numFmtId="0" fontId="0" fillId="0" borderId="46" xfId="0" applyBorder="1"/>
    <xf numFmtId="0" fontId="0" fillId="0" borderId="46" xfId="0" applyNumberFormat="1" applyBorder="1"/>
    <xf numFmtId="0" fontId="0" fillId="0" borderId="47" xfId="0" applyNumberFormat="1" applyBorder="1"/>
    <xf numFmtId="0" fontId="0" fillId="0" borderId="0" xfId="0" applyBorder="1"/>
    <xf numFmtId="0" fontId="0" fillId="0" borderId="0" xfId="0" applyNumberFormat="1" applyBorder="1"/>
    <xf numFmtId="0" fontId="2" fillId="0" borderId="0" xfId="3" quotePrefix="1" applyFont="1"/>
    <xf numFmtId="1" fontId="2" fillId="0" borderId="2" xfId="2" applyNumberFormat="1" applyFill="1" applyBorder="1" applyAlignment="1">
      <alignment horizontal="center"/>
    </xf>
    <xf numFmtId="164" fontId="2" fillId="0" borderId="11" xfId="2" applyNumberFormat="1" applyFill="1" applyBorder="1" applyAlignment="1">
      <alignment horizontal="center" vertical="center"/>
    </xf>
    <xf numFmtId="0" fontId="11" fillId="0" borderId="0" xfId="2" applyFont="1"/>
    <xf numFmtId="0" fontId="2" fillId="0" borderId="0" xfId="3" applyFont="1"/>
    <xf numFmtId="1" fontId="2" fillId="0" borderId="13" xfId="2" applyNumberFormat="1" applyBorder="1" applyAlignment="1">
      <alignment horizontal="center"/>
    </xf>
    <xf numFmtId="0" fontId="2" fillId="4" borderId="12" xfId="2" applyFill="1" applyBorder="1" applyAlignment="1">
      <alignment horizontal="center"/>
    </xf>
    <xf numFmtId="166" fontId="2" fillId="0" borderId="31" xfId="4" applyNumberFormat="1" applyFont="1" applyBorder="1" applyAlignment="1">
      <alignment horizontal="center"/>
    </xf>
    <xf numFmtId="0" fontId="0" fillId="0" borderId="48" xfId="0" applyNumberFormat="1" applyBorder="1"/>
    <xf numFmtId="1" fontId="12" fillId="0" borderId="2" xfId="2" applyNumberFormat="1" applyFont="1" applyBorder="1" applyAlignment="1">
      <alignment horizontal="center"/>
    </xf>
    <xf numFmtId="1" fontId="12" fillId="0" borderId="13" xfId="2" applyNumberFormat="1" applyFont="1" applyBorder="1" applyAlignment="1">
      <alignment horizontal="center"/>
    </xf>
    <xf numFmtId="164" fontId="12" fillId="0" borderId="13" xfId="2" applyNumberFormat="1" applyFont="1" applyBorder="1" applyAlignment="1">
      <alignment horizontal="center" vertical="center"/>
    </xf>
    <xf numFmtId="20" fontId="12" fillId="0" borderId="13" xfId="2" applyNumberFormat="1" applyFont="1" applyBorder="1" applyAlignment="1">
      <alignment horizontal="center" vertical="center"/>
    </xf>
    <xf numFmtId="1" fontId="12" fillId="0" borderId="13" xfId="2" applyNumberFormat="1" applyFont="1" applyBorder="1" applyAlignment="1">
      <alignment horizontal="center" vertical="center"/>
    </xf>
    <xf numFmtId="0" fontId="12" fillId="0" borderId="2" xfId="2" applyFont="1" applyBorder="1" applyAlignment="1">
      <alignment horizontal="center"/>
    </xf>
    <xf numFmtId="164" fontId="12" fillId="0" borderId="11" xfId="2" applyNumberFormat="1" applyFont="1" applyFill="1" applyBorder="1" applyAlignment="1">
      <alignment horizontal="right" vertical="center"/>
    </xf>
    <xf numFmtId="164" fontId="12" fillId="0" borderId="11" xfId="2" applyNumberFormat="1" applyFont="1" applyFill="1" applyBorder="1" applyAlignment="1">
      <alignment horizontal="center" vertical="center"/>
    </xf>
    <xf numFmtId="164" fontId="12" fillId="0" borderId="1" xfId="2" applyNumberFormat="1" applyFont="1" applyFill="1" applyBorder="1" applyAlignment="1">
      <alignment horizontal="left" vertical="center"/>
    </xf>
    <xf numFmtId="0" fontId="12" fillId="0" borderId="12" xfId="2" applyFont="1" applyFill="1" applyBorder="1" applyAlignment="1">
      <alignment horizontal="center"/>
    </xf>
    <xf numFmtId="0" fontId="12" fillId="0" borderId="0" xfId="2" applyFont="1" applyAlignment="1">
      <alignment horizontal="center"/>
    </xf>
    <xf numFmtId="0" fontId="12" fillId="0" borderId="0" xfId="2" applyFont="1"/>
    <xf numFmtId="164" fontId="12" fillId="0" borderId="11" xfId="2" applyNumberFormat="1" applyFont="1" applyBorder="1" applyAlignment="1">
      <alignment horizontal="right" vertical="center"/>
    </xf>
    <xf numFmtId="164" fontId="12" fillId="0" borderId="11" xfId="2" applyNumberFormat="1" applyFont="1" applyBorder="1" applyAlignment="1">
      <alignment horizontal="center" vertical="center"/>
    </xf>
    <xf numFmtId="164" fontId="12" fillId="0" borderId="1" xfId="2" applyNumberFormat="1" applyFont="1" applyBorder="1" applyAlignment="1">
      <alignment horizontal="left" vertical="center"/>
    </xf>
    <xf numFmtId="164" fontId="12" fillId="0" borderId="13" xfId="2" applyNumberFormat="1" applyFont="1" applyFill="1" applyBorder="1" applyAlignment="1">
      <alignment horizontal="right" vertical="center"/>
    </xf>
    <xf numFmtId="164" fontId="12" fillId="0" borderId="13" xfId="2" applyNumberFormat="1" applyFont="1" applyBorder="1" applyAlignment="1">
      <alignment horizontal="right" vertical="center"/>
    </xf>
    <xf numFmtId="1" fontId="12" fillId="0" borderId="2" xfId="2" applyNumberFormat="1" applyFont="1" applyFill="1" applyBorder="1" applyAlignment="1">
      <alignment horizontal="center"/>
    </xf>
    <xf numFmtId="164" fontId="12" fillId="0" borderId="13" xfId="2" applyNumberFormat="1" applyFont="1" applyFill="1" applyBorder="1" applyAlignment="1">
      <alignment horizontal="center" vertical="center"/>
    </xf>
    <xf numFmtId="20" fontId="12" fillId="0" borderId="13" xfId="2" applyNumberFormat="1" applyFont="1" applyFill="1" applyBorder="1" applyAlignment="1">
      <alignment horizontal="center" vertical="center"/>
    </xf>
    <xf numFmtId="1" fontId="12" fillId="0" borderId="13" xfId="2" applyNumberFormat="1" applyFont="1" applyFill="1" applyBorder="1" applyAlignment="1">
      <alignment horizontal="center" vertical="center"/>
    </xf>
    <xf numFmtId="0" fontId="12" fillId="0" borderId="2" xfId="2" applyFont="1" applyFill="1" applyBorder="1" applyAlignment="1">
      <alignment horizontal="center"/>
    </xf>
    <xf numFmtId="0" fontId="13" fillId="0" borderId="0" xfId="0" applyFont="1"/>
    <xf numFmtId="1" fontId="0" fillId="0" borderId="43" xfId="0" applyNumberFormat="1" applyBorder="1"/>
    <xf numFmtId="1" fontId="0" fillId="0" borderId="44" xfId="0" applyNumberFormat="1" applyBorder="1"/>
    <xf numFmtId="0" fontId="0" fillId="0" borderId="49" xfId="0" applyBorder="1"/>
    <xf numFmtId="164" fontId="0" fillId="0" borderId="43" xfId="0" applyNumberFormat="1" applyBorder="1"/>
    <xf numFmtId="164" fontId="0" fillId="0" borderId="48" xfId="0" applyNumberFormat="1" applyBorder="1"/>
    <xf numFmtId="164" fontId="0" fillId="0" borderId="46" xfId="0" applyNumberFormat="1" applyBorder="1"/>
    <xf numFmtId="0" fontId="2" fillId="2" borderId="2" xfId="2" applyFont="1" applyFill="1" applyBorder="1"/>
    <xf numFmtId="0" fontId="2" fillId="0" borderId="0" xfId="2" applyFont="1"/>
    <xf numFmtId="0" fontId="2" fillId="5" borderId="2" xfId="2" applyFont="1" applyFill="1" applyBorder="1"/>
    <xf numFmtId="0" fontId="2" fillId="5" borderId="2" xfId="2" applyFill="1" applyBorder="1"/>
    <xf numFmtId="0" fontId="0" fillId="0" borderId="43" xfId="0" pivotButton="1" applyBorder="1"/>
    <xf numFmtId="0" fontId="0" fillId="0" borderId="50" xfId="0" applyBorder="1"/>
    <xf numFmtId="0" fontId="0" fillId="0" borderId="51" xfId="0" applyBorder="1"/>
    <xf numFmtId="0" fontId="0" fillId="0" borderId="50" xfId="0" pivotButton="1" applyBorder="1"/>
    <xf numFmtId="0" fontId="0" fillId="0" borderId="52" xfId="0" applyBorder="1"/>
    <xf numFmtId="168" fontId="2" fillId="2" borderId="24" xfId="2" applyNumberFormat="1" applyFill="1" applyBorder="1" applyAlignment="1">
      <alignment horizontal="center"/>
    </xf>
    <xf numFmtId="168" fontId="2" fillId="2" borderId="26" xfId="2" applyNumberFormat="1" applyFill="1" applyBorder="1" applyAlignment="1">
      <alignment horizontal="center"/>
    </xf>
    <xf numFmtId="168" fontId="2" fillId="0" borderId="24" xfId="2" applyNumberFormat="1" applyBorder="1" applyAlignment="1">
      <alignment horizontal="center"/>
    </xf>
    <xf numFmtId="168" fontId="2" fillId="0" borderId="26" xfId="2" applyNumberFormat="1" applyBorder="1" applyAlignment="1">
      <alignment horizontal="center"/>
    </xf>
    <xf numFmtId="0" fontId="17" fillId="0" borderId="2" xfId="0" applyFont="1" applyBorder="1" applyAlignment="1">
      <alignment horizontal="center" vertical="center"/>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2" fillId="0" borderId="0" xfId="3" quotePrefix="1"/>
    <xf numFmtId="0" fontId="6" fillId="2" borderId="13" xfId="2" applyFont="1" applyFill="1" applyBorder="1" applyAlignment="1">
      <alignment horizontal="center" vertical="center"/>
    </xf>
    <xf numFmtId="0" fontId="6" fillId="2" borderId="11" xfId="2" applyFont="1" applyFill="1" applyBorder="1" applyAlignment="1">
      <alignment horizontal="center" vertical="center"/>
    </xf>
    <xf numFmtId="0" fontId="6" fillId="2" borderId="1" xfId="2" applyFont="1" applyFill="1" applyBorder="1" applyAlignment="1">
      <alignment horizontal="center" vertical="center"/>
    </xf>
    <xf numFmtId="0" fontId="17" fillId="0" borderId="13" xfId="0" applyFont="1" applyBorder="1" applyAlignment="1">
      <alignment horizontal="center" vertical="center"/>
    </xf>
    <xf numFmtId="0" fontId="17" fillId="0" borderId="11" xfId="0" applyFont="1" applyBorder="1" applyAlignment="1">
      <alignment horizontal="center" vertical="center"/>
    </xf>
    <xf numFmtId="0" fontId="17" fillId="0" borderId="1" xfId="0" applyFont="1" applyBorder="1" applyAlignment="1">
      <alignment horizontal="center" vertical="center"/>
    </xf>
    <xf numFmtId="0" fontId="7" fillId="3" borderId="37" xfId="3" applyFont="1" applyFill="1" applyBorder="1" applyAlignment="1">
      <alignment horizontal="center"/>
    </xf>
    <xf numFmtId="0" fontId="7" fillId="3" borderId="42" xfId="3" applyFont="1" applyFill="1" applyBorder="1" applyAlignment="1">
      <alignment horizontal="center"/>
    </xf>
    <xf numFmtId="0" fontId="7" fillId="3" borderId="38" xfId="3" applyFont="1" applyFill="1" applyBorder="1" applyAlignment="1">
      <alignment horizontal="center"/>
    </xf>
    <xf numFmtId="0" fontId="0" fillId="0" borderId="48" xfId="0" applyBorder="1"/>
    <xf numFmtId="0" fontId="0" fillId="0" borderId="53" xfId="0" applyBorder="1"/>
    <xf numFmtId="0" fontId="0" fillId="0" borderId="53" xfId="0" applyNumberFormat="1" applyBorder="1"/>
    <xf numFmtId="0" fontId="0" fillId="0" borderId="0" xfId="0" applyNumberFormat="1"/>
    <xf numFmtId="0" fontId="0" fillId="0" borderId="54" xfId="0" applyNumberFormat="1" applyBorder="1"/>
  </cellXfs>
  <cellStyles count="6">
    <cellStyle name="Normal" xfId="0" builtinId="0"/>
    <cellStyle name="Normal_efux" xfId="1"/>
    <cellStyle name="Normal_eurekax" xfId="2"/>
    <cellStyle name="Normal_ld01" xfId="3"/>
    <cellStyle name="Percent" xfId="4" builtinId="5"/>
    <cellStyle name="Tour" xfId="5"/>
  </cellStyles>
  <dxfs count="4">
    <dxf>
      <font>
        <condense val="0"/>
        <extend val="0"/>
        <color indexed="10"/>
      </font>
      <fill>
        <patternFill patternType="none">
          <bgColor indexed="65"/>
        </patternFill>
      </fill>
    </dxf>
    <dxf>
      <font>
        <condense val="0"/>
        <extend val="0"/>
        <color indexed="10"/>
      </font>
      <fill>
        <patternFill patternType="none">
          <bgColor indexed="65"/>
        </patternFill>
      </fill>
    </dxf>
    <dxf>
      <font>
        <condense val="0"/>
        <extend val="0"/>
        <color indexed="10"/>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attachedToolbars" Target="attachedToolbars.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480686695278972E-2"/>
          <c:y val="5.9496567505720882E-2"/>
          <c:w val="0.85515021459227503"/>
          <c:h val="0.83752860411899344"/>
        </c:manualLayout>
      </c:layout>
      <c:barChart>
        <c:barDir val="col"/>
        <c:grouping val="clustered"/>
        <c:varyColors val="0"/>
        <c:ser>
          <c:idx val="0"/>
          <c:order val="0"/>
          <c:spPr>
            <a:solidFill>
              <a:srgbClr val="9999FF"/>
            </a:solidFill>
            <a:ln w="12700">
              <a:solidFill>
                <a:srgbClr val="000000"/>
              </a:solidFill>
              <a:prstDash val="solid"/>
            </a:ln>
          </c:spPr>
          <c:invertIfNegative val="0"/>
          <c:val>
            <c:numRef>
              <c:f>Coverage_Hourly!$F$6:$F$29</c:f>
              <c:numCache>
                <c:formatCode>General</c:formatCode>
                <c:ptCount val="24"/>
                <c:pt idx="0">
                  <c:v>4.66</c:v>
                </c:pt>
                <c:pt idx="1">
                  <c:v>4.67</c:v>
                </c:pt>
                <c:pt idx="2">
                  <c:v>4.67</c:v>
                </c:pt>
                <c:pt idx="3">
                  <c:v>4.67</c:v>
                </c:pt>
                <c:pt idx="4">
                  <c:v>4.67</c:v>
                </c:pt>
                <c:pt idx="5">
                  <c:v>4.7</c:v>
                </c:pt>
                <c:pt idx="6">
                  <c:v>4.88</c:v>
                </c:pt>
                <c:pt idx="7">
                  <c:v>4.9000000000000004</c:v>
                </c:pt>
                <c:pt idx="8">
                  <c:v>4.99</c:v>
                </c:pt>
                <c:pt idx="9">
                  <c:v>5</c:v>
                </c:pt>
                <c:pt idx="10">
                  <c:v>5</c:v>
                </c:pt>
                <c:pt idx="11">
                  <c:v>5.04</c:v>
                </c:pt>
                <c:pt idx="12">
                  <c:v>4.83</c:v>
                </c:pt>
                <c:pt idx="13">
                  <c:v>4.74</c:v>
                </c:pt>
                <c:pt idx="14">
                  <c:v>4.72</c:v>
                </c:pt>
                <c:pt idx="15">
                  <c:v>4.67</c:v>
                </c:pt>
                <c:pt idx="16">
                  <c:v>4.33</c:v>
                </c:pt>
                <c:pt idx="17">
                  <c:v>4.17</c:v>
                </c:pt>
                <c:pt idx="18">
                  <c:v>4.33</c:v>
                </c:pt>
                <c:pt idx="19">
                  <c:v>4.12</c:v>
                </c:pt>
                <c:pt idx="20">
                  <c:v>4.2300000000000004</c:v>
                </c:pt>
                <c:pt idx="21">
                  <c:v>4.33</c:v>
                </c:pt>
                <c:pt idx="22">
                  <c:v>4.33</c:v>
                </c:pt>
                <c:pt idx="23">
                  <c:v>4.2699999999999996</c:v>
                </c:pt>
              </c:numCache>
            </c:numRef>
          </c:val>
        </c:ser>
        <c:dLbls>
          <c:showLegendKey val="0"/>
          <c:showVal val="0"/>
          <c:showCatName val="0"/>
          <c:showSerName val="0"/>
          <c:showPercent val="0"/>
          <c:showBubbleSize val="0"/>
        </c:dLbls>
        <c:gapWidth val="150"/>
        <c:axId val="135296512"/>
        <c:axId val="135298432"/>
      </c:barChart>
      <c:lineChart>
        <c:grouping val="standard"/>
        <c:varyColors val="0"/>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val>
            <c:numRef>
              <c:f>Coverage_Hourly!$G$6:$G$29</c:f>
              <c:numCache>
                <c:formatCode>General</c:formatCode>
                <c:ptCount val="24"/>
                <c:pt idx="0">
                  <c:v>5</c:v>
                </c:pt>
                <c:pt idx="1">
                  <c:v>5</c:v>
                </c:pt>
                <c:pt idx="2">
                  <c:v>5</c:v>
                </c:pt>
                <c:pt idx="3">
                  <c:v>4</c:v>
                </c:pt>
                <c:pt idx="4">
                  <c:v>4</c:v>
                </c:pt>
                <c:pt idx="5">
                  <c:v>5</c:v>
                </c:pt>
                <c:pt idx="6">
                  <c:v>5</c:v>
                </c:pt>
                <c:pt idx="7">
                  <c:v>5</c:v>
                </c:pt>
                <c:pt idx="8">
                  <c:v>5</c:v>
                </c:pt>
                <c:pt idx="9">
                  <c:v>5</c:v>
                </c:pt>
                <c:pt idx="10">
                  <c:v>5</c:v>
                </c:pt>
                <c:pt idx="11">
                  <c:v>5</c:v>
                </c:pt>
                <c:pt idx="12">
                  <c:v>5</c:v>
                </c:pt>
                <c:pt idx="13">
                  <c:v>4</c:v>
                </c:pt>
                <c:pt idx="14">
                  <c:v>4</c:v>
                </c:pt>
                <c:pt idx="15">
                  <c:v>4</c:v>
                </c:pt>
                <c:pt idx="16">
                  <c:v>4</c:v>
                </c:pt>
                <c:pt idx="17">
                  <c:v>4</c:v>
                </c:pt>
                <c:pt idx="18">
                  <c:v>4</c:v>
                </c:pt>
                <c:pt idx="19">
                  <c:v>5</c:v>
                </c:pt>
                <c:pt idx="20">
                  <c:v>5</c:v>
                </c:pt>
                <c:pt idx="21">
                  <c:v>5</c:v>
                </c:pt>
                <c:pt idx="22">
                  <c:v>5</c:v>
                </c:pt>
                <c:pt idx="23">
                  <c:v>5</c:v>
                </c:pt>
              </c:numCache>
            </c:numRef>
          </c:val>
          <c:smooth val="0"/>
        </c:ser>
        <c:dLbls>
          <c:showLegendKey val="0"/>
          <c:showVal val="0"/>
          <c:showCatName val="0"/>
          <c:showSerName val="0"/>
          <c:showPercent val="0"/>
          <c:showBubbleSize val="0"/>
        </c:dLbls>
        <c:marker val="1"/>
        <c:smooth val="0"/>
        <c:axId val="135296512"/>
        <c:axId val="135298432"/>
      </c:lineChart>
      <c:catAx>
        <c:axId val="13529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Tahoma"/>
                <a:ea typeface="Tahoma"/>
                <a:cs typeface="Tahoma"/>
              </a:defRPr>
            </a:pPr>
            <a:endParaRPr lang="en-US"/>
          </a:p>
        </c:txPr>
        <c:crossAx val="135298432"/>
        <c:crosses val="autoZero"/>
        <c:auto val="1"/>
        <c:lblAlgn val="ctr"/>
        <c:lblOffset val="100"/>
        <c:tickLblSkip val="1"/>
        <c:tickMarkSkip val="1"/>
        <c:noMultiLvlLbl val="0"/>
      </c:catAx>
      <c:valAx>
        <c:axId val="13529843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Tahoma"/>
                <a:ea typeface="Tahoma"/>
                <a:cs typeface="Tahoma"/>
              </a:defRPr>
            </a:pPr>
            <a:endParaRPr lang="en-US"/>
          </a:p>
        </c:txPr>
        <c:crossAx val="135296512"/>
        <c:crosses val="autoZero"/>
        <c:crossBetween val="between"/>
      </c:valAx>
      <c:spPr>
        <a:solidFill>
          <a:srgbClr val="C0C0C0"/>
        </a:solidFill>
        <a:ln w="12700">
          <a:solidFill>
            <a:srgbClr val="808080"/>
          </a:solidFill>
          <a:prstDash val="solid"/>
        </a:ln>
      </c:spPr>
    </c:plotArea>
    <c:legend>
      <c:legendPos val="r"/>
      <c:layout>
        <c:manualLayout>
          <c:xMode val="edge"/>
          <c:yMode val="edge"/>
          <c:x val="0.90450643776824036"/>
          <c:y val="0.43020594965675057"/>
          <c:w val="8.9055793991416374E-2"/>
          <c:h val="0.10068649885583518"/>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Tahoma"/>
              <a:ea typeface="Tahoma"/>
              <a:cs typeface="Tahoma"/>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Tahoma"/>
          <a:ea typeface="Tahoma"/>
          <a:cs typeface="Tahoma"/>
        </a:defRPr>
      </a:pPr>
      <a:endParaRPr lang="en-US"/>
    </a:p>
  </c:txPr>
  <c:printSettings>
    <c:headerFooter alignWithMargins="0"/>
    <c:pageMargins b="1" l="0.75000000000000033" r="0.75000000000000033" t="1" header="0.5" footer="0.5"/>
    <c:pageSetup/>
  </c:printSettings>
</c:chartSpace>
</file>

<file path=xl/ctrlProps/ctrlProp1.xml><?xml version="1.0" encoding="utf-8"?>
<formControlPr xmlns="http://schemas.microsoft.com/office/spreadsheetml/2009/9/main" objectType="Drop" dropLines="12" dropStyle="combo" dx="16" fmlaLink="Utility!$D$6" fmlaRange="Utility!$B$5:$B$52" noThreeD="1" sel="33" val="30"/>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19050</xdr:colOff>
      <xdr:row>13</xdr:row>
      <xdr:rowOff>123825</xdr:rowOff>
    </xdr:from>
    <xdr:to>
      <xdr:col>10</xdr:col>
      <xdr:colOff>9525</xdr:colOff>
      <xdr:row>18</xdr:row>
      <xdr:rowOff>152400</xdr:rowOff>
    </xdr:to>
    <xdr:sp macro="" textlink="">
      <xdr:nvSpPr>
        <xdr:cNvPr id="1025" name="Text Box 1"/>
        <xdr:cNvSpPr txBox="1">
          <a:spLocks noChangeArrowheads="1"/>
        </xdr:cNvSpPr>
      </xdr:nvSpPr>
      <xdr:spPr bwMode="auto">
        <a:xfrm>
          <a:off x="552450" y="2457450"/>
          <a:ext cx="5334000" cy="8382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imes New Roman"/>
              <a:cs typeface="Times New Roman"/>
            </a:rPr>
            <a:t>Columns B-R are various tour classification and auditing values. Some are values, others are formulas based on scheduling functions that I wrote in Visual Basic (all the VB modules are included in the file.). When I print the tour I hide some of the columns depending on how I want the printed schedule to look. Here is a brief description of the columns B-R.</a:t>
          </a:r>
        </a:p>
      </xdr:txBody>
    </xdr:sp>
    <xdr:clientData/>
  </xdr:twoCellAnchor>
  <xdr:twoCellAnchor>
    <xdr:from>
      <xdr:col>1</xdr:col>
      <xdr:colOff>9525</xdr:colOff>
      <xdr:row>39</xdr:row>
      <xdr:rowOff>0</xdr:rowOff>
    </xdr:from>
    <xdr:to>
      <xdr:col>9</xdr:col>
      <xdr:colOff>523875</xdr:colOff>
      <xdr:row>41</xdr:row>
      <xdr:rowOff>85725</xdr:rowOff>
    </xdr:to>
    <xdr:sp macro="" textlink="">
      <xdr:nvSpPr>
        <xdr:cNvPr id="1026" name="Text Box 2"/>
        <xdr:cNvSpPr txBox="1">
          <a:spLocks noChangeArrowheads="1"/>
        </xdr:cNvSpPr>
      </xdr:nvSpPr>
      <xdr:spPr bwMode="auto">
        <a:xfrm>
          <a:off x="542925" y="6543675"/>
          <a:ext cx="5324475" cy="4095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imes New Roman"/>
              <a:cs typeface="Times New Roman"/>
            </a:rPr>
            <a:t>Columns I-AC are for the week 1 tour. Column AD is a function returning the number of hours worked in the tour for the week.</a:t>
          </a:r>
        </a:p>
      </xdr:txBody>
    </xdr:sp>
    <xdr:clientData/>
  </xdr:twoCellAnchor>
  <xdr:twoCellAnchor>
    <xdr:from>
      <xdr:col>1</xdr:col>
      <xdr:colOff>9525</xdr:colOff>
      <xdr:row>45</xdr:row>
      <xdr:rowOff>0</xdr:rowOff>
    </xdr:from>
    <xdr:to>
      <xdr:col>9</xdr:col>
      <xdr:colOff>523875</xdr:colOff>
      <xdr:row>48</xdr:row>
      <xdr:rowOff>133350</xdr:rowOff>
    </xdr:to>
    <xdr:sp macro="" textlink="">
      <xdr:nvSpPr>
        <xdr:cNvPr id="1027" name="Text Box 3"/>
        <xdr:cNvSpPr txBox="1">
          <a:spLocks noChangeArrowheads="1"/>
        </xdr:cNvSpPr>
      </xdr:nvSpPr>
      <xdr:spPr bwMode="auto">
        <a:xfrm>
          <a:off x="542925" y="7591425"/>
          <a:ext cx="5324475" cy="6191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imes New Roman"/>
              <a:cs typeface="Times New Roman"/>
            </a:rPr>
            <a:t>The target staffing levels are imported from a demand file. The actual number of people scheduled by half hour is calculated by the function Coverage() in Module 2. It is calculated by pushing the button labeled "Coverage" on the Eureka toolbar.</a:t>
          </a:r>
        </a:p>
      </xdr:txBody>
    </xdr:sp>
    <xdr:clientData/>
  </xdr:twoCellAnchor>
  <xdr:twoCellAnchor>
    <xdr:from>
      <xdr:col>1</xdr:col>
      <xdr:colOff>9525</xdr:colOff>
      <xdr:row>52</xdr:row>
      <xdr:rowOff>0</xdr:rowOff>
    </xdr:from>
    <xdr:to>
      <xdr:col>9</xdr:col>
      <xdr:colOff>523875</xdr:colOff>
      <xdr:row>54</xdr:row>
      <xdr:rowOff>85725</xdr:rowOff>
    </xdr:to>
    <xdr:sp macro="" textlink="">
      <xdr:nvSpPr>
        <xdr:cNvPr id="1028" name="Text Box 4"/>
        <xdr:cNvSpPr txBox="1">
          <a:spLocks noChangeArrowheads="1"/>
        </xdr:cNvSpPr>
      </xdr:nvSpPr>
      <xdr:spPr bwMode="auto">
        <a:xfrm>
          <a:off x="542925" y="8801100"/>
          <a:ext cx="5324475" cy="4095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imes New Roman"/>
              <a:cs typeface="Times New Roman"/>
            </a:rPr>
            <a:t>Just like it says, an hourly version of the Coverage report. It is updated automatically whenever the half-hourly coverage button is pushed.</a:t>
          </a:r>
        </a:p>
      </xdr:txBody>
    </xdr:sp>
    <xdr:clientData/>
  </xdr:twoCellAnchor>
  <xdr:twoCellAnchor>
    <xdr:from>
      <xdr:col>1</xdr:col>
      <xdr:colOff>9525</xdr:colOff>
      <xdr:row>58</xdr:row>
      <xdr:rowOff>0</xdr:rowOff>
    </xdr:from>
    <xdr:to>
      <xdr:col>9</xdr:col>
      <xdr:colOff>523875</xdr:colOff>
      <xdr:row>60</xdr:row>
      <xdr:rowOff>85725</xdr:rowOff>
    </xdr:to>
    <xdr:sp macro="" textlink="">
      <xdr:nvSpPr>
        <xdr:cNvPr id="1030" name="Text Box 6"/>
        <xdr:cNvSpPr txBox="1">
          <a:spLocks noChangeArrowheads="1"/>
        </xdr:cNvSpPr>
      </xdr:nvSpPr>
      <xdr:spPr bwMode="auto">
        <a:xfrm>
          <a:off x="542925" y="9848850"/>
          <a:ext cx="5324475" cy="4095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imes New Roman"/>
              <a:cs typeface="Times New Roman"/>
            </a:rPr>
            <a:t>Very incomplete, just a few basic tables containing important summary information. </a:t>
          </a:r>
        </a:p>
      </xdr:txBody>
    </xdr:sp>
    <xdr:clientData/>
  </xdr:twoCellAnchor>
  <xdr:twoCellAnchor>
    <xdr:from>
      <xdr:col>1</xdr:col>
      <xdr:colOff>9525</xdr:colOff>
      <xdr:row>64</xdr:row>
      <xdr:rowOff>0</xdr:rowOff>
    </xdr:from>
    <xdr:to>
      <xdr:col>9</xdr:col>
      <xdr:colOff>523875</xdr:colOff>
      <xdr:row>66</xdr:row>
      <xdr:rowOff>85725</xdr:rowOff>
    </xdr:to>
    <xdr:sp macro="" textlink="">
      <xdr:nvSpPr>
        <xdr:cNvPr id="1031" name="Text Box 7"/>
        <xdr:cNvSpPr txBox="1">
          <a:spLocks noChangeArrowheads="1"/>
        </xdr:cNvSpPr>
      </xdr:nvSpPr>
      <xdr:spPr bwMode="auto">
        <a:xfrm>
          <a:off x="542925" y="10896600"/>
          <a:ext cx="5324475" cy="4095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imes New Roman"/>
              <a:cs typeface="Times New Roman"/>
            </a:rPr>
            <a:t>Contains utility lookup tables, styles, lists for filling combo boxes, etc.</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95250</xdr:rowOff>
        </xdr:from>
        <xdr:to>
          <xdr:col>3</xdr:col>
          <xdr:colOff>304800</xdr:colOff>
          <xdr:row>2</xdr:row>
          <xdr:rowOff>19050</xdr:rowOff>
        </xdr:to>
        <xdr:sp macro="" textlink="">
          <xdr:nvSpPr>
            <xdr:cNvPr id="2049" name="Drop Down 1" hidden="1">
              <a:extLst>
                <a:ext uri="{63B3BB69-23CF-44E3-9099-C40C66FF867C}">
                  <a14:compatExt spid="_x0000_s20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xdr:row>
          <xdr:rowOff>28575</xdr:rowOff>
        </xdr:from>
        <xdr:to>
          <xdr:col>9</xdr:col>
          <xdr:colOff>9525</xdr:colOff>
          <xdr:row>3</xdr:row>
          <xdr:rowOff>0</xdr:rowOff>
        </xdr:to>
        <xdr:sp macro="" textlink="">
          <xdr:nvSpPr>
            <xdr:cNvPr id="2054" name="cmdEraseTours"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28575</xdr:rowOff>
        </xdr:from>
        <xdr:to>
          <xdr:col>11</xdr:col>
          <xdr:colOff>552450</xdr:colOff>
          <xdr:row>3</xdr:row>
          <xdr:rowOff>0</xdr:rowOff>
        </xdr:to>
        <xdr:sp macro="" textlink="">
          <xdr:nvSpPr>
            <xdr:cNvPr id="2055" name="cmdImportPP2"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638175</xdr:colOff>
          <xdr:row>1</xdr:row>
          <xdr:rowOff>28575</xdr:rowOff>
        </xdr:from>
        <xdr:to>
          <xdr:col>12</xdr:col>
          <xdr:colOff>38100</xdr:colOff>
          <xdr:row>3</xdr:row>
          <xdr:rowOff>0</xdr:rowOff>
        </xdr:to>
        <xdr:sp macro="" textlink="">
          <xdr:nvSpPr>
            <xdr:cNvPr id="2056" name="cmdImportTTS"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28575</xdr:rowOff>
        </xdr:from>
        <xdr:to>
          <xdr:col>10</xdr:col>
          <xdr:colOff>381000</xdr:colOff>
          <xdr:row>3</xdr:row>
          <xdr:rowOff>0</xdr:rowOff>
        </xdr:to>
        <xdr:sp macro="" textlink="">
          <xdr:nvSpPr>
            <xdr:cNvPr id="2057" name="cmdImportDMD"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xdr:row>
          <xdr:rowOff>28575</xdr:rowOff>
        </xdr:from>
        <xdr:to>
          <xdr:col>12</xdr:col>
          <xdr:colOff>695325</xdr:colOff>
          <xdr:row>3</xdr:row>
          <xdr:rowOff>0</xdr:rowOff>
        </xdr:to>
        <xdr:sp macro="" textlink="">
          <xdr:nvSpPr>
            <xdr:cNvPr id="2058" name="cmdCoverage"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104775</xdr:colOff>
      <xdr:row>41</xdr:row>
      <xdr:rowOff>76200</xdr:rowOff>
    </xdr:from>
    <xdr:to>
      <xdr:col>22</xdr:col>
      <xdr:colOff>47625</xdr:colOff>
      <xdr:row>67</xdr:row>
      <xdr:rowOff>28575</xdr:rowOff>
    </xdr:to>
    <xdr:graphicFrame macro="">
      <xdr:nvGraphicFramePr>
        <xdr:cNvPr id="410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PS User" refreshedDate="40664.430253356484" createdVersion="3" refreshedVersion="3" recordCount="66">
  <cacheSource type="worksheet">
    <worksheetSource ref="B5:R71" sheet="Tour"/>
  </cacheSource>
  <cacheFields count="17">
    <cacheField name="TT" numFmtId="1">
      <sharedItems containsString="0" containsBlank="1" containsNumber="1" containsInteger="1" minValue="1" maxValue="17" count="14">
        <n v="10"/>
        <n v="15"/>
        <n v="16"/>
        <n v="17"/>
        <m/>
        <n v="11" u="1"/>
        <n v="6" u="1"/>
        <n v="3" u="1"/>
        <n v="7" u="1"/>
        <n v="8" u="1"/>
        <n v="4" u="1"/>
        <n v="2" u="1"/>
        <n v="9" u="1"/>
        <n v="1" u="1"/>
      </sharedItems>
    </cacheField>
    <cacheField name="Pos" numFmtId="1">
      <sharedItems containsString="0" containsBlank="1" containsNumber="1" containsInteger="1" minValue="1" maxValue="69"/>
    </cacheField>
    <cacheField name="pair" numFmtId="1">
      <sharedItems containsNonDate="0" containsString="0" containsBlank="1"/>
    </cacheField>
    <cacheField name="Buddy" numFmtId="1">
      <sharedItems containsNonDate="0" containsString="0" containsBlank="1"/>
    </cacheField>
    <cacheField name="MinStart" numFmtId="164">
      <sharedItems containsNonDate="0" containsDate="1" containsString="0" containsBlank="1" minDate="1899-12-30T06:00:00" maxDate="1899-12-30T23:59:59" count="31">
        <d v="1899-12-30T07:00:00"/>
        <d v="1899-12-30T11:00:00"/>
        <d v="1899-12-30T15:00:00"/>
        <d v="1899-12-30T19:00:00"/>
        <d v="1899-12-30T21:00:00"/>
        <d v="1899-12-30T23:00:00"/>
        <d v="1899-12-30T23:59:59"/>
        <m/>
        <d v="1899-12-30T14:30:00" u="1"/>
        <d v="1899-12-30T15:30:00" u="1"/>
        <d v="1899-12-30T18:30:00" u="1"/>
        <d v="1899-12-30T19:30:00" u="1"/>
        <d v="1899-12-30T20:30:00" u="1"/>
        <d v="1899-12-30T21:30:00" u="1"/>
        <d v="1899-12-30T22:30:00" u="1"/>
        <d v="1899-12-30T23:30:00" u="1"/>
        <d v="1899-12-30T06:00:00" u="1"/>
        <d v="1899-12-30T08:00:00" u="1"/>
        <d v="1899-12-30T09:00:00" u="1"/>
        <d v="1899-12-30T10:00:00" u="1"/>
        <d v="1899-12-30T12:00:00" u="1"/>
        <d v="1899-12-30T13:00:00" u="1"/>
        <d v="1899-12-30T14:00:00" u="1"/>
        <d v="1899-12-30T16:00:00" u="1"/>
        <d v="1899-12-30T18:00:00" u="1"/>
        <d v="1899-12-30T07:30:00" u="1"/>
        <d v="1899-12-30T08:30:00" u="1"/>
        <d v="1899-12-30T20:00:00" u="1"/>
        <d v="1899-12-30T09:30:00" u="1"/>
        <d v="1899-12-30T22:00:00" u="1"/>
        <d v="1899-12-30T11:30:00" u="1"/>
      </sharedItems>
    </cacheField>
    <cacheField name="MaxStart" numFmtId="164">
      <sharedItems containsNonDate="0" containsDate="1" containsString="0" containsBlank="1" minDate="1899-12-30T00:00:00" maxDate="1899-12-30T23:00:00"/>
    </cacheField>
    <cacheField name="StartDiff" numFmtId="20">
      <sharedItems containsDate="1" containsString="0" containsBlank="1" containsMixedTypes="1" minDate="1900-01-09T19:02:11" maxDate="1899-12-31T00:00:00"/>
    </cacheField>
    <cacheField name="Work" numFmtId="1">
      <sharedItems containsString="0" containsBlank="1" containsNumber="1" containsInteger="1" minValue="0" maxValue="3"/>
    </cacheField>
    <cacheField name="Off" numFmtId="1">
      <sharedItems containsString="0" containsBlank="1" containsNumber="1" containsInteger="1" minValue="1" maxValue="14"/>
    </cacheField>
    <cacheField name="Wkend" numFmtId="1">
      <sharedItems containsString="0" containsBlank="1" containsNumber="1" containsInteger="1" minValue="0" maxValue="4"/>
    </cacheField>
    <cacheField name="W1 Hrs" numFmtId="1">
      <sharedItems containsBlank="1"/>
    </cacheField>
    <cacheField name="W2 Hrs" numFmtId="1">
      <sharedItems containsBlank="1"/>
    </cacheField>
    <cacheField name="Hours" numFmtId="1">
      <sharedItems containsBlank="1" containsMixedTypes="1" containsNumber="1" minValue="-11.999999999999986" maxValue="12.000000000000014"/>
    </cacheField>
    <cacheField name="Nurse" numFmtId="0">
      <sharedItems containsBlank="1"/>
    </cacheField>
    <cacheField name="Length" numFmtId="1">
      <sharedItems containsString="0" containsBlank="1" containsNumber="1" minValue="0" maxValue="12.000000000000002"/>
    </cacheField>
    <cacheField name="Shifts" numFmtId="1">
      <sharedItems containsString="0" containsBlank="1" containsNumber="1" containsInteger="1" minValue="0" maxValue="4"/>
    </cacheField>
    <cacheField name="Description" numFmtId="1">
      <sharedItems containsBlank="1" count="18">
        <s v="(8,1)"/>
        <s v="(12,3)"/>
        <s v="(12,4)"/>
        <e v="#N/A"/>
        <m/>
        <s v="(8,3)" u="1"/>
        <s v="4 hr 0.4" u="1"/>
        <s v="(10,2)" u="1"/>
        <s v="10 hr FT" u="1"/>
        <s v="4 hr 0.3" u="1"/>
        <s v="(12,2)" u="1"/>
        <s v="12hr FT" u="1"/>
        <s v="8 hr 0.6" u="1"/>
        <s v="8 hr extra" u="1"/>
        <s v="(8,5)" u="1"/>
        <s v="(10,4)" u="1"/>
        <s v="8 hr FT" u="1"/>
        <s v="(8,4)"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isken" refreshedDate="40714.690701041669" createdVersion="3" refreshedVersion="4" recordCount="66">
  <cacheSource type="worksheet">
    <worksheetSource ref="B5:R71" sheet="Tour"/>
  </cacheSource>
  <cacheFields count="17">
    <cacheField name="TT" numFmtId="1">
      <sharedItems containsString="0" containsBlank="1" containsNumber="1" containsInteger="1" minValue="1" maxValue="6"/>
    </cacheField>
    <cacheField name="Pos" numFmtId="1">
      <sharedItems containsString="0" containsBlank="1" containsNumber="1" containsInteger="1" minValue="1" maxValue="69"/>
    </cacheField>
    <cacheField name="pair" numFmtId="1">
      <sharedItems containsNonDate="0" containsString="0" containsBlank="1"/>
    </cacheField>
    <cacheField name="Buddy" numFmtId="1">
      <sharedItems containsNonDate="0" containsString="0" containsBlank="1"/>
    </cacheField>
    <cacheField name="MinStart" numFmtId="164">
      <sharedItems containsNonDate="0" containsDate="1" containsString="0" containsBlank="1" minDate="1899-12-30T05:00:00" maxDate="1899-12-30T23:59:59"/>
    </cacheField>
    <cacheField name="MaxStart" numFmtId="164">
      <sharedItems containsNonDate="0" containsDate="1" containsString="0" containsBlank="1" minDate="1899-12-30T00:00:00" maxDate="1899-12-30T19:00:00"/>
    </cacheField>
    <cacheField name="StartDiff" numFmtId="20">
      <sharedItems containsDate="1" containsString="0" containsBlank="1" containsMixedTypes="1" minDate="1899-12-30T00:00:00" maxDate="1899-12-31T00:00:00"/>
    </cacheField>
    <cacheField name="Work" numFmtId="1">
      <sharedItems containsString="0" containsBlank="1" containsNumber="1" containsInteger="1" minValue="0" maxValue="7"/>
    </cacheField>
    <cacheField name="Off" numFmtId="1">
      <sharedItems containsString="0" containsBlank="1" containsNumber="1" containsInteger="1" minValue="2" maxValue="14"/>
    </cacheField>
    <cacheField name="Wkend" numFmtId="1">
      <sharedItems containsString="0" containsBlank="1" containsNumber="1" containsInteger="1" minValue="0" maxValue="2"/>
    </cacheField>
    <cacheField name="W1 Hrs" numFmtId="1">
      <sharedItems containsBlank="1"/>
    </cacheField>
    <cacheField name="W2 Hrs" numFmtId="1">
      <sharedItems containsBlank="1"/>
    </cacheField>
    <cacheField name="Hours" numFmtId="1">
      <sharedItems containsBlank="1" containsMixedTypes="1" containsNumber="1" minValue="-24.000000000000004" maxValue="4.0000000000000142"/>
    </cacheField>
    <cacheField name="Nurse" numFmtId="0">
      <sharedItems containsBlank="1" containsMixedTypes="1" containsNumber="1" containsInteger="1" minValue="0" maxValue="0" count="6">
        <s v="PT4"/>
        <s v="GS12"/>
        <s v="FT12"/>
        <e v="#N/A"/>
        <m/>
        <n v="0" u="1"/>
      </sharedItems>
    </cacheField>
    <cacheField name="Length" numFmtId="1">
      <sharedItems containsString="0" containsBlank="1" containsNumber="1" minValue="0" maxValue="12.000000000000002"/>
    </cacheField>
    <cacheField name="Shifts" numFmtId="1">
      <sharedItems containsString="0" containsBlank="1" containsNumber="1" containsInteger="1" minValue="0" maxValue="5"/>
    </cacheField>
    <cacheField name="Description" numFmtId="1">
      <sharedItems containsBlank="1" containsMixedTypes="1" containsNumber="1" containsInteger="1" minValue="0" maxValue="0" count="6">
        <s v="PT4"/>
        <s v="GS12"/>
        <s v="FT12"/>
        <e v="#N/A"/>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6">
  <r>
    <x v="0"/>
    <n v="1"/>
    <m/>
    <m/>
    <x v="0"/>
    <d v="1899-12-30T07:00:00"/>
    <d v="1899-12-30T00:00:00"/>
    <n v="1"/>
    <n v="6"/>
    <n v="2"/>
    <s v="OK"/>
    <s v="OK"/>
    <n v="0"/>
    <s v="GS/Cont"/>
    <n v="8"/>
    <n v="1"/>
    <x v="0"/>
  </r>
  <r>
    <x v="0"/>
    <n v="2"/>
    <m/>
    <m/>
    <x v="0"/>
    <d v="1899-12-30T07:00:00"/>
    <d v="1899-12-30T00:00:00"/>
    <n v="1"/>
    <n v="6"/>
    <n v="2"/>
    <s v="OK"/>
    <s v="OK"/>
    <n v="0"/>
    <s v="GS/Cont"/>
    <n v="8"/>
    <n v="1"/>
    <x v="0"/>
  </r>
  <r>
    <x v="0"/>
    <n v="3"/>
    <m/>
    <m/>
    <x v="0"/>
    <d v="1899-12-30T07:00:00"/>
    <d v="1899-12-30T00:00:00"/>
    <n v="1"/>
    <n v="6"/>
    <n v="0"/>
    <s v="OK"/>
    <s v="OK"/>
    <n v="0"/>
    <s v="GS/Cont"/>
    <n v="8"/>
    <n v="1"/>
    <x v="0"/>
  </r>
  <r>
    <x v="1"/>
    <n v="4"/>
    <m/>
    <m/>
    <x v="0"/>
    <d v="1899-12-30T07:00:00"/>
    <d v="1899-12-30T00:00:00"/>
    <n v="3"/>
    <n v="4"/>
    <n v="4"/>
    <s v="OK"/>
    <s v="OK"/>
    <n v="-7.9999999999999858"/>
    <s v="GS/Cont"/>
    <n v="12.000000000000002"/>
    <n v="3"/>
    <x v="1"/>
  </r>
  <r>
    <x v="1"/>
    <n v="5"/>
    <m/>
    <m/>
    <x v="0"/>
    <d v="1899-12-30T07:00:00"/>
    <d v="1899-12-30T00:00:00"/>
    <n v="1"/>
    <n v="2"/>
    <n v="2"/>
    <s v="OK"/>
    <s v="OK"/>
    <n v="-7.9999999999999858"/>
    <s v="GS/Cont"/>
    <n v="12.000000000000002"/>
    <n v="3"/>
    <x v="1"/>
  </r>
  <r>
    <x v="1"/>
    <n v="6"/>
    <m/>
    <m/>
    <x v="0"/>
    <d v="1899-12-30T07:00:00"/>
    <d v="1899-12-30T00:00:00"/>
    <n v="3"/>
    <n v="4"/>
    <n v="4"/>
    <s v="OK"/>
    <s v="OK"/>
    <n v="-7.9999999999999858"/>
    <s v="GS/Cont"/>
    <n v="12.000000000000002"/>
    <n v="3"/>
    <x v="1"/>
  </r>
  <r>
    <x v="1"/>
    <n v="7"/>
    <m/>
    <m/>
    <x v="0"/>
    <d v="1899-12-30T07:00:00"/>
    <d v="1899-12-30T00:00:00"/>
    <n v="1"/>
    <n v="2"/>
    <n v="2"/>
    <s v="OK"/>
    <s v="OK"/>
    <n v="-7.9999999999999858"/>
    <s v="GS/Cont"/>
    <n v="12.000000000000002"/>
    <n v="3"/>
    <x v="1"/>
  </r>
  <r>
    <x v="1"/>
    <n v="8"/>
    <m/>
    <m/>
    <x v="0"/>
    <d v="1899-12-30T07:00:00"/>
    <d v="1899-12-30T00:00:00"/>
    <n v="2"/>
    <n v="2"/>
    <n v="2"/>
    <s v="OK"/>
    <s v="OK"/>
    <n v="-7.9999999999999858"/>
    <s v="GS/Cont"/>
    <n v="12.000000000000002"/>
    <n v="3"/>
    <x v="1"/>
  </r>
  <r>
    <x v="1"/>
    <n v="9"/>
    <m/>
    <m/>
    <x v="0"/>
    <d v="1899-12-30T07:00:00"/>
    <d v="1899-12-30T00:00:00"/>
    <n v="1"/>
    <n v="2"/>
    <n v="2"/>
    <s v="OK"/>
    <s v="OK"/>
    <n v="-7.9999999999999858"/>
    <s v="GS/Cont"/>
    <n v="12.000000000000002"/>
    <n v="3"/>
    <x v="1"/>
  </r>
  <r>
    <x v="1"/>
    <n v="10"/>
    <m/>
    <m/>
    <x v="0"/>
    <d v="1899-12-30T07:00:00"/>
    <d v="1899-12-30T00:00:00"/>
    <n v="1"/>
    <n v="2"/>
    <n v="0"/>
    <s v="OK"/>
    <s v="OK"/>
    <n v="-7.9999999999999858"/>
    <s v="GS/Cont"/>
    <n v="12.000000000000002"/>
    <n v="3"/>
    <x v="1"/>
  </r>
  <r>
    <x v="1"/>
    <n v="11"/>
    <m/>
    <m/>
    <x v="0"/>
    <d v="1899-12-30T07:00:00"/>
    <d v="1899-12-30T00:00:00"/>
    <n v="2"/>
    <n v="2"/>
    <n v="2"/>
    <s v="OK"/>
    <s v="OK"/>
    <n v="-7.9999999999999858"/>
    <s v="GS/Cont"/>
    <n v="12.000000000000002"/>
    <n v="3"/>
    <x v="1"/>
  </r>
  <r>
    <x v="1"/>
    <n v="12"/>
    <m/>
    <m/>
    <x v="0"/>
    <d v="1899-12-30T07:00:00"/>
    <d v="1899-12-30T00:00:00"/>
    <n v="1"/>
    <n v="2"/>
    <n v="0"/>
    <s v="OK"/>
    <s v="OK"/>
    <n v="-7.9999999999999858"/>
    <s v="GS/Cont"/>
    <n v="12.000000000000002"/>
    <n v="3"/>
    <x v="1"/>
  </r>
  <r>
    <x v="1"/>
    <n v="13"/>
    <m/>
    <m/>
    <x v="0"/>
    <d v="1899-12-30T07:00:00"/>
    <d v="1899-12-30T00:00:00"/>
    <n v="3"/>
    <n v="4"/>
    <n v="0"/>
    <s v="OK"/>
    <s v="OK"/>
    <n v="-7.9999999999999858"/>
    <s v="GS/Cont"/>
    <n v="12.000000000000002"/>
    <n v="3"/>
    <x v="1"/>
  </r>
  <r>
    <x v="1"/>
    <n v="14"/>
    <m/>
    <m/>
    <x v="0"/>
    <d v="1899-12-30T07:00:00"/>
    <d v="1899-12-30T00:00:00"/>
    <n v="1"/>
    <n v="2"/>
    <n v="0"/>
    <s v="OK"/>
    <s v="OK"/>
    <n v="-7.9999999999999858"/>
    <s v="GS/Cont"/>
    <n v="12.000000000000002"/>
    <n v="3"/>
    <x v="1"/>
  </r>
  <r>
    <x v="2"/>
    <n v="15"/>
    <m/>
    <m/>
    <x v="0"/>
    <d v="1899-12-30T07:00:00"/>
    <d v="1899-12-30T00:00:00"/>
    <n v="2"/>
    <n v="1"/>
    <n v="2"/>
    <s v="OK"/>
    <s v="OK"/>
    <n v="12.000000000000014"/>
    <s v="M"/>
    <n v="12.000000000000002"/>
    <n v="4"/>
    <x v="2"/>
  </r>
  <r>
    <x v="2"/>
    <n v="16"/>
    <m/>
    <m/>
    <x v="0"/>
    <d v="1899-12-30T07:00:00"/>
    <d v="1899-12-30T00:00:00"/>
    <n v="3"/>
    <n v="2"/>
    <n v="2"/>
    <s v="OK"/>
    <s v="OK"/>
    <n v="12.000000000000014"/>
    <s v="M"/>
    <n v="12.000000000000002"/>
    <n v="4"/>
    <x v="2"/>
  </r>
  <r>
    <x v="2"/>
    <n v="17"/>
    <m/>
    <m/>
    <x v="0"/>
    <d v="1899-12-30T07:00:00"/>
    <d v="1899-12-30T00:00:00"/>
    <n v="2"/>
    <n v="2"/>
    <n v="2"/>
    <s v="OK"/>
    <s v="OK"/>
    <n v="12.000000000000014"/>
    <s v="M"/>
    <n v="12.000000000000002"/>
    <n v="4"/>
    <x v="2"/>
  </r>
  <r>
    <x v="3"/>
    <n v="18"/>
    <m/>
    <m/>
    <x v="0"/>
    <d v="1899-12-30T07:00:00"/>
    <d v="1899-12-30T00:00:00"/>
    <n v="2"/>
    <n v="3"/>
    <n v="0"/>
    <s v="OK"/>
    <s v="OK"/>
    <n v="-11.999999999999986"/>
    <s v="M"/>
    <n v="12.000000000000002"/>
    <n v="3"/>
    <x v="1"/>
  </r>
  <r>
    <x v="3"/>
    <n v="19"/>
    <m/>
    <m/>
    <x v="0"/>
    <d v="1899-12-30T07:00:00"/>
    <d v="1899-12-30T00:00:00"/>
    <n v="2"/>
    <n v="2"/>
    <n v="2"/>
    <s v="OK"/>
    <s v="OK"/>
    <n v="-11.999999999999986"/>
    <s v="M"/>
    <n v="12.000000000000002"/>
    <n v="3"/>
    <x v="1"/>
  </r>
  <r>
    <x v="3"/>
    <n v="20"/>
    <m/>
    <m/>
    <x v="0"/>
    <d v="1899-12-30T07:00:00"/>
    <d v="1899-12-30T00:00:00"/>
    <n v="2"/>
    <n v="3"/>
    <n v="0"/>
    <s v="OK"/>
    <s v="OK"/>
    <n v="-11.999999999999986"/>
    <s v="M"/>
    <n v="12.000000000000002"/>
    <n v="3"/>
    <x v="1"/>
  </r>
  <r>
    <x v="3"/>
    <n v="22"/>
    <m/>
    <m/>
    <x v="0"/>
    <d v="1899-12-30T07:00:00"/>
    <d v="1899-12-30T00:00:00"/>
    <n v="2"/>
    <n v="3"/>
    <n v="0"/>
    <s v="OK"/>
    <s v="OK"/>
    <n v="-11.999999999999986"/>
    <s v="M"/>
    <n v="12.000000000000002"/>
    <n v="3"/>
    <x v="1"/>
  </r>
  <r>
    <x v="3"/>
    <n v="23"/>
    <m/>
    <m/>
    <x v="0"/>
    <d v="1899-12-30T07:00:00"/>
    <d v="1899-12-30T00:00:00"/>
    <n v="2"/>
    <n v="2"/>
    <n v="2"/>
    <s v="OK"/>
    <s v="OK"/>
    <n v="-11.999999999999986"/>
    <s v="M"/>
    <n v="12.000000000000002"/>
    <n v="3"/>
    <x v="1"/>
  </r>
  <r>
    <x v="0"/>
    <n v="25"/>
    <m/>
    <m/>
    <x v="1"/>
    <d v="1899-12-30T11:00:00"/>
    <d v="1899-12-30T00:00:00"/>
    <n v="1"/>
    <n v="6"/>
    <n v="0"/>
    <s v="OK"/>
    <s v="OK"/>
    <n v="0"/>
    <s v="GS/Cont"/>
    <n v="8"/>
    <n v="1"/>
    <x v="0"/>
  </r>
  <r>
    <x v="0"/>
    <n v="26"/>
    <m/>
    <m/>
    <x v="1"/>
    <d v="1899-12-30T11:00:00"/>
    <d v="1899-12-30T00:00:00"/>
    <n v="1"/>
    <n v="6"/>
    <n v="0"/>
    <s v="OK"/>
    <s v="OK"/>
    <n v="0"/>
    <s v="GS/Cont"/>
    <n v="8"/>
    <n v="1"/>
    <x v="0"/>
  </r>
  <r>
    <x v="0"/>
    <n v="28"/>
    <m/>
    <m/>
    <x v="1"/>
    <d v="1899-12-30T11:00:00"/>
    <d v="1899-12-30T00:00:00"/>
    <n v="1"/>
    <n v="6"/>
    <n v="0"/>
    <s v="OK"/>
    <s v="OK"/>
    <n v="0"/>
    <s v="GS/Cont"/>
    <n v="8"/>
    <n v="1"/>
    <x v="0"/>
  </r>
  <r>
    <x v="0"/>
    <n v="29"/>
    <m/>
    <m/>
    <x v="2"/>
    <d v="1899-12-30T15:00:00"/>
    <d v="1899-12-30T00:00:00"/>
    <n v="1"/>
    <n v="6"/>
    <n v="2"/>
    <s v="OK"/>
    <s v="OK"/>
    <n v="0"/>
    <s v="GS/Cont"/>
    <n v="8"/>
    <n v="1"/>
    <x v="0"/>
  </r>
  <r>
    <x v="0"/>
    <n v="31"/>
    <m/>
    <m/>
    <x v="2"/>
    <d v="1899-12-30T15:00:00"/>
    <d v="1899-12-30T00:00:00"/>
    <n v="1"/>
    <n v="6"/>
    <n v="0"/>
    <s v="OK"/>
    <s v="OK"/>
    <n v="0"/>
    <s v="GS/Cont"/>
    <n v="8"/>
    <n v="1"/>
    <x v="0"/>
  </r>
  <r>
    <x v="0"/>
    <n v="32"/>
    <m/>
    <m/>
    <x v="3"/>
    <d v="1899-12-30T19:00:00"/>
    <d v="1899-12-30T00:00:00"/>
    <n v="1"/>
    <n v="6"/>
    <n v="2"/>
    <s v="OK"/>
    <s v="OK"/>
    <n v="0"/>
    <s v="GS/Cont"/>
    <n v="8"/>
    <n v="1"/>
    <x v="0"/>
  </r>
  <r>
    <x v="1"/>
    <n v="33"/>
    <m/>
    <m/>
    <x v="3"/>
    <d v="1899-12-30T19:00:00"/>
    <d v="1899-12-30T00:00:00"/>
    <n v="2"/>
    <n v="3"/>
    <n v="0"/>
    <s v="OK"/>
    <s v="OK"/>
    <n v="-7.9999999999999858"/>
    <s v="GS/Cont"/>
    <n v="12.000000000000002"/>
    <n v="3"/>
    <x v="1"/>
  </r>
  <r>
    <x v="1"/>
    <n v="34"/>
    <m/>
    <m/>
    <x v="3"/>
    <d v="1899-12-30T19:00:00"/>
    <d v="1899-12-30T00:00:00"/>
    <n v="2"/>
    <n v="3"/>
    <n v="0"/>
    <s v="OK"/>
    <s v="OK"/>
    <n v="-7.9999999999999858"/>
    <s v="GS/Cont"/>
    <n v="12.000000000000002"/>
    <n v="3"/>
    <x v="1"/>
  </r>
  <r>
    <x v="1"/>
    <n v="35"/>
    <m/>
    <m/>
    <x v="3"/>
    <d v="1899-12-30T19:00:00"/>
    <d v="1899-12-30T00:00:00"/>
    <n v="1"/>
    <n v="2"/>
    <n v="2"/>
    <s v="OK"/>
    <s v="OK"/>
    <n v="-7.9999999999999858"/>
    <s v="GS/Cont"/>
    <n v="12.000000000000002"/>
    <n v="3"/>
    <x v="1"/>
  </r>
  <r>
    <x v="1"/>
    <n v="36"/>
    <m/>
    <m/>
    <x v="3"/>
    <d v="1899-12-30T19:00:00"/>
    <d v="1899-12-30T00:00:00"/>
    <n v="2"/>
    <n v="3"/>
    <n v="0"/>
    <s v="OK"/>
    <s v="OK"/>
    <n v="-7.9999999999999858"/>
    <s v="GS/Cont"/>
    <n v="12.000000000000002"/>
    <n v="3"/>
    <x v="1"/>
  </r>
  <r>
    <x v="1"/>
    <n v="37"/>
    <m/>
    <m/>
    <x v="3"/>
    <d v="1899-12-30T19:00:00"/>
    <d v="1899-12-30T00:00:00"/>
    <n v="1"/>
    <n v="2"/>
    <n v="2"/>
    <s v="OK"/>
    <s v="OK"/>
    <n v="-7.9999999999999858"/>
    <s v="GS/Cont"/>
    <n v="12.000000000000002"/>
    <n v="3"/>
    <x v="1"/>
  </r>
  <r>
    <x v="1"/>
    <n v="38"/>
    <m/>
    <m/>
    <x v="3"/>
    <d v="1899-12-30T19:00:00"/>
    <d v="1899-12-30T00:00:00"/>
    <n v="3"/>
    <n v="4"/>
    <n v="2"/>
    <s v="OK"/>
    <s v="OK"/>
    <n v="-7.9999999999999858"/>
    <s v="GS/Cont"/>
    <n v="12.000000000000002"/>
    <n v="3"/>
    <x v="1"/>
  </r>
  <r>
    <x v="1"/>
    <n v="39"/>
    <m/>
    <m/>
    <x v="3"/>
    <d v="1899-12-30T19:00:00"/>
    <d v="1899-12-30T00:00:00"/>
    <n v="2"/>
    <n v="3"/>
    <n v="2"/>
    <s v="OK"/>
    <s v="OK"/>
    <n v="-7.9999999999999858"/>
    <s v="GS/Cont"/>
    <n v="12.000000000000002"/>
    <n v="3"/>
    <x v="1"/>
  </r>
  <r>
    <x v="1"/>
    <n v="40"/>
    <m/>
    <m/>
    <x v="3"/>
    <d v="1899-12-30T19:00:00"/>
    <d v="1899-12-30T00:00:00"/>
    <n v="2"/>
    <n v="3"/>
    <n v="0"/>
    <s v="OK"/>
    <s v="OK"/>
    <n v="-7.9999999999999858"/>
    <s v="GS/Cont"/>
    <n v="12.000000000000002"/>
    <n v="3"/>
    <x v="1"/>
  </r>
  <r>
    <x v="1"/>
    <n v="41"/>
    <m/>
    <m/>
    <x v="3"/>
    <d v="1899-12-30T19:00:00"/>
    <d v="1899-12-30T00:00:00"/>
    <n v="1"/>
    <n v="2"/>
    <n v="2"/>
    <s v="OK"/>
    <s v="OK"/>
    <n v="-7.9999999999999858"/>
    <s v="GS/Cont"/>
    <n v="12.000000000000002"/>
    <n v="3"/>
    <x v="1"/>
  </r>
  <r>
    <x v="1"/>
    <n v="42"/>
    <m/>
    <m/>
    <x v="3"/>
    <d v="1899-12-30T19:00:00"/>
    <d v="1899-12-30T00:00:00"/>
    <n v="2"/>
    <n v="3"/>
    <n v="2"/>
    <s v="OK"/>
    <s v="OK"/>
    <n v="-7.9999999999999858"/>
    <s v="GS/Cont"/>
    <n v="12.000000000000002"/>
    <n v="3"/>
    <x v="1"/>
  </r>
  <r>
    <x v="1"/>
    <n v="43"/>
    <m/>
    <m/>
    <x v="3"/>
    <d v="1899-12-30T19:00:00"/>
    <d v="1899-12-30T00:00:00"/>
    <n v="2"/>
    <n v="2"/>
    <n v="4"/>
    <s v="OK"/>
    <s v="OK"/>
    <n v="-7.9999999999999858"/>
    <s v="GS/Cont"/>
    <n v="12.000000000000002"/>
    <n v="3"/>
    <x v="1"/>
  </r>
  <r>
    <x v="1"/>
    <n v="44"/>
    <m/>
    <m/>
    <x v="3"/>
    <d v="1899-12-30T19:00:00"/>
    <d v="1899-12-30T00:00:00"/>
    <n v="2"/>
    <n v="2"/>
    <n v="4"/>
    <s v="OK"/>
    <s v="OK"/>
    <n v="-7.9999999999999858"/>
    <s v="GS/Cont"/>
    <n v="12.000000000000002"/>
    <n v="3"/>
    <x v="1"/>
  </r>
  <r>
    <x v="1"/>
    <n v="45"/>
    <m/>
    <m/>
    <x v="3"/>
    <d v="1899-12-30T19:00:00"/>
    <d v="1899-12-30T00:00:00"/>
    <n v="2"/>
    <n v="3"/>
    <n v="4"/>
    <s v="OK"/>
    <s v="OK"/>
    <n v="-7.9999999999999858"/>
    <s v="GS/Cont"/>
    <n v="12.000000000000002"/>
    <n v="3"/>
    <x v="1"/>
  </r>
  <r>
    <x v="1"/>
    <n v="46"/>
    <m/>
    <m/>
    <x v="3"/>
    <d v="1899-12-30T19:00:00"/>
    <d v="1899-12-30T00:00:00"/>
    <n v="2"/>
    <n v="3"/>
    <n v="2"/>
    <s v="OK"/>
    <s v="OK"/>
    <n v="-7.9999999999999858"/>
    <s v="GS/Cont"/>
    <n v="12.000000000000002"/>
    <n v="3"/>
    <x v="1"/>
  </r>
  <r>
    <x v="1"/>
    <n v="47"/>
    <m/>
    <m/>
    <x v="3"/>
    <d v="1899-12-30T19:00:00"/>
    <d v="1899-12-30T00:00:00"/>
    <n v="2"/>
    <n v="3"/>
    <n v="0"/>
    <s v="OK"/>
    <s v="OK"/>
    <n v="-7.9999999999999858"/>
    <s v="GS/Cont"/>
    <n v="12.000000000000002"/>
    <n v="3"/>
    <x v="1"/>
  </r>
  <r>
    <x v="2"/>
    <n v="48"/>
    <m/>
    <m/>
    <x v="3"/>
    <d v="1899-12-30T19:00:00"/>
    <d v="1899-12-30T00:00:00"/>
    <n v="2"/>
    <n v="2"/>
    <n v="2"/>
    <s v="OK"/>
    <s v="OK"/>
    <n v="12.000000000000014"/>
    <s v="M"/>
    <n v="12.000000000000002"/>
    <n v="4"/>
    <x v="2"/>
  </r>
  <r>
    <x v="0"/>
    <n v="49"/>
    <m/>
    <m/>
    <x v="4"/>
    <d v="1899-12-30T21:00:00"/>
    <d v="1899-12-30T00:00:00"/>
    <n v="1"/>
    <n v="6"/>
    <n v="0"/>
    <s v="OK"/>
    <s v="OK"/>
    <n v="0"/>
    <s v="GS/Cont"/>
    <n v="8"/>
    <n v="1"/>
    <x v="0"/>
  </r>
  <r>
    <x v="0"/>
    <n v="50"/>
    <m/>
    <m/>
    <x v="4"/>
    <d v="1899-12-30T21:00:00"/>
    <d v="1899-12-30T00:00:00"/>
    <n v="1"/>
    <n v="6"/>
    <n v="0"/>
    <s v="OK"/>
    <s v="OK"/>
    <n v="0"/>
    <s v="GS/Cont"/>
    <n v="8"/>
    <n v="1"/>
    <x v="0"/>
  </r>
  <r>
    <x v="0"/>
    <n v="51"/>
    <m/>
    <m/>
    <x v="4"/>
    <d v="1899-12-30T21:00:00"/>
    <d v="1899-12-30T00:00:00"/>
    <n v="1"/>
    <n v="6"/>
    <n v="0"/>
    <s v="OK"/>
    <s v="OK"/>
    <n v="0"/>
    <s v="GS/Cont"/>
    <n v="8"/>
    <n v="1"/>
    <x v="0"/>
  </r>
  <r>
    <x v="0"/>
    <n v="52"/>
    <m/>
    <m/>
    <x v="5"/>
    <d v="1899-12-30T23:00:00"/>
    <d v="1899-12-30T00:00:00"/>
    <n v="1"/>
    <n v="6"/>
    <n v="2"/>
    <s v="OK"/>
    <s v="OK"/>
    <n v="0"/>
    <s v="GS/Cont"/>
    <n v="8"/>
    <n v="1"/>
    <x v="0"/>
  </r>
  <r>
    <x v="4"/>
    <n v="53"/>
    <m/>
    <m/>
    <x v="6"/>
    <d v="1899-12-30T00:00:00"/>
    <n v="-0.99998842592592596"/>
    <n v="0"/>
    <n v="14"/>
    <n v="0"/>
    <e v="#N/A"/>
    <e v="#N/A"/>
    <e v="#N/A"/>
    <e v="#N/A"/>
    <n v="0"/>
    <n v="0"/>
    <x v="3"/>
  </r>
  <r>
    <x v="4"/>
    <n v="54"/>
    <m/>
    <m/>
    <x v="6"/>
    <d v="1899-12-30T00:00:00"/>
    <n v="-0.99998842592592596"/>
    <n v="0"/>
    <n v="14"/>
    <n v="0"/>
    <e v="#N/A"/>
    <e v="#N/A"/>
    <e v="#N/A"/>
    <e v="#N/A"/>
    <n v="0"/>
    <n v="0"/>
    <x v="3"/>
  </r>
  <r>
    <x v="4"/>
    <n v="55"/>
    <m/>
    <m/>
    <x v="6"/>
    <d v="1899-12-30T00:00:00"/>
    <n v="-0.99998842592592596"/>
    <n v="0"/>
    <n v="14"/>
    <n v="0"/>
    <e v="#N/A"/>
    <e v="#N/A"/>
    <e v="#N/A"/>
    <e v="#N/A"/>
    <n v="0"/>
    <n v="0"/>
    <x v="3"/>
  </r>
  <r>
    <x v="4"/>
    <n v="56"/>
    <m/>
    <m/>
    <x v="6"/>
    <d v="1899-12-30T00:00:00"/>
    <n v="-0.99998842592592596"/>
    <n v="0"/>
    <n v="14"/>
    <n v="0"/>
    <e v="#N/A"/>
    <e v="#N/A"/>
    <e v="#N/A"/>
    <e v="#N/A"/>
    <n v="0"/>
    <n v="0"/>
    <x v="3"/>
  </r>
  <r>
    <x v="4"/>
    <n v="57"/>
    <m/>
    <m/>
    <x v="6"/>
    <d v="1899-12-30T00:00:00"/>
    <n v="-0.99998842592592596"/>
    <n v="0"/>
    <n v="14"/>
    <n v="0"/>
    <e v="#N/A"/>
    <e v="#N/A"/>
    <e v="#N/A"/>
    <e v="#N/A"/>
    <n v="0"/>
    <n v="0"/>
    <x v="3"/>
  </r>
  <r>
    <x v="4"/>
    <n v="58"/>
    <m/>
    <m/>
    <x v="6"/>
    <d v="1899-12-30T00:00:00"/>
    <n v="-0.99998842592592596"/>
    <n v="0"/>
    <n v="14"/>
    <n v="0"/>
    <e v="#N/A"/>
    <e v="#N/A"/>
    <e v="#N/A"/>
    <e v="#N/A"/>
    <n v="0"/>
    <n v="0"/>
    <x v="3"/>
  </r>
  <r>
    <x v="4"/>
    <n v="59"/>
    <m/>
    <m/>
    <x v="6"/>
    <d v="1899-12-30T00:00:00"/>
    <n v="-0.99998842592592596"/>
    <n v="0"/>
    <n v="14"/>
    <n v="0"/>
    <e v="#N/A"/>
    <e v="#N/A"/>
    <e v="#N/A"/>
    <e v="#N/A"/>
    <n v="0"/>
    <n v="0"/>
    <x v="3"/>
  </r>
  <r>
    <x v="4"/>
    <n v="60"/>
    <m/>
    <m/>
    <x v="6"/>
    <d v="1899-12-30T00:00:00"/>
    <n v="-0.99998842592592596"/>
    <n v="0"/>
    <n v="14"/>
    <n v="0"/>
    <e v="#N/A"/>
    <e v="#N/A"/>
    <e v="#N/A"/>
    <e v="#N/A"/>
    <n v="0"/>
    <n v="0"/>
    <x v="3"/>
  </r>
  <r>
    <x v="4"/>
    <n v="61"/>
    <m/>
    <m/>
    <x v="6"/>
    <d v="1899-12-30T00:00:00"/>
    <n v="-0.99998842592592596"/>
    <n v="0"/>
    <n v="14"/>
    <n v="0"/>
    <e v="#N/A"/>
    <e v="#N/A"/>
    <e v="#N/A"/>
    <e v="#N/A"/>
    <n v="0"/>
    <n v="0"/>
    <x v="3"/>
  </r>
  <r>
    <x v="4"/>
    <n v="62"/>
    <m/>
    <m/>
    <x v="6"/>
    <d v="1899-12-30T00:00:00"/>
    <n v="-0.99998842592592596"/>
    <n v="0"/>
    <n v="14"/>
    <n v="0"/>
    <e v="#N/A"/>
    <e v="#N/A"/>
    <e v="#N/A"/>
    <e v="#N/A"/>
    <n v="0"/>
    <n v="0"/>
    <x v="3"/>
  </r>
  <r>
    <x v="4"/>
    <n v="63"/>
    <m/>
    <m/>
    <x v="6"/>
    <d v="1899-12-30T00:00:00"/>
    <n v="-0.99998842592592596"/>
    <n v="0"/>
    <n v="14"/>
    <n v="0"/>
    <e v="#N/A"/>
    <e v="#N/A"/>
    <e v="#N/A"/>
    <e v="#N/A"/>
    <n v="0"/>
    <n v="0"/>
    <x v="3"/>
  </r>
  <r>
    <x v="4"/>
    <n v="64"/>
    <m/>
    <m/>
    <x v="6"/>
    <d v="1899-12-30T00:00:00"/>
    <n v="-0.99998842592592596"/>
    <n v="0"/>
    <n v="14"/>
    <n v="0"/>
    <e v="#N/A"/>
    <e v="#N/A"/>
    <e v="#N/A"/>
    <e v="#N/A"/>
    <n v="0"/>
    <n v="0"/>
    <x v="3"/>
  </r>
  <r>
    <x v="4"/>
    <n v="65"/>
    <m/>
    <m/>
    <x v="6"/>
    <d v="1899-12-30T00:00:00"/>
    <n v="-0.99998842592592596"/>
    <n v="0"/>
    <n v="14"/>
    <n v="0"/>
    <e v="#N/A"/>
    <e v="#N/A"/>
    <e v="#N/A"/>
    <e v="#N/A"/>
    <n v="0"/>
    <n v="0"/>
    <x v="3"/>
  </r>
  <r>
    <x v="4"/>
    <n v="66"/>
    <m/>
    <m/>
    <x v="6"/>
    <d v="1899-12-30T00:00:00"/>
    <n v="-0.99998842592592596"/>
    <n v="0"/>
    <n v="14"/>
    <n v="0"/>
    <e v="#N/A"/>
    <e v="#N/A"/>
    <e v="#N/A"/>
    <e v="#N/A"/>
    <n v="0"/>
    <n v="0"/>
    <x v="3"/>
  </r>
  <r>
    <x v="4"/>
    <n v="67"/>
    <m/>
    <m/>
    <x v="6"/>
    <d v="1899-12-30T00:00:00"/>
    <n v="-0.99998842592592596"/>
    <n v="0"/>
    <n v="14"/>
    <n v="0"/>
    <e v="#N/A"/>
    <e v="#N/A"/>
    <e v="#N/A"/>
    <e v="#N/A"/>
    <n v="0"/>
    <n v="0"/>
    <x v="3"/>
  </r>
  <r>
    <x v="4"/>
    <n v="68"/>
    <m/>
    <m/>
    <x v="6"/>
    <d v="1899-12-30T00:00:00"/>
    <n v="-0.99998842592592596"/>
    <n v="0"/>
    <n v="14"/>
    <n v="0"/>
    <e v="#N/A"/>
    <e v="#N/A"/>
    <e v="#N/A"/>
    <e v="#N/A"/>
    <n v="0"/>
    <n v="0"/>
    <x v="3"/>
  </r>
  <r>
    <x v="4"/>
    <n v="69"/>
    <m/>
    <m/>
    <x v="6"/>
    <d v="1899-12-30T00:00:00"/>
    <n v="-0.99998842592592596"/>
    <n v="0"/>
    <n v="14"/>
    <n v="0"/>
    <e v="#N/A"/>
    <e v="#N/A"/>
    <e v="#N/A"/>
    <e v="#N/A"/>
    <n v="0"/>
    <n v="0"/>
    <x v="3"/>
  </r>
  <r>
    <x v="4"/>
    <m/>
    <m/>
    <m/>
    <x v="7"/>
    <m/>
    <m/>
    <m/>
    <m/>
    <m/>
    <m/>
    <m/>
    <m/>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3" cacheId="12" dataOnRows="1" applyNumberFormats="0" applyBorderFormats="0" applyFontFormats="0" applyPatternFormats="0" applyAlignmentFormats="0" applyWidthHeightFormats="1" dataCaption="Data" updatedVersion="3" minRefreshableVersion="3" showMultipleLabel="0" showMemberPropertyTips="0" useAutoFormatting="1" itemPrintTitles="1" createdVersion="3" indent="0" compact="0" compactData="0" gridDropZones="1">
  <location ref="G25:L34" firstHeaderRow="1" firstDataRow="3" firstDataCol="1"/>
  <pivotFields count="17">
    <pivotField axis="axisCol" dataField="1" compact="0" numFmtId="1" outline="0" subtotalTop="0" showAll="0" includeNewItemsInFilter="1" defaultSubtotal="0">
      <items count="14">
        <item m="1" x="13"/>
        <item m="1" x="11"/>
        <item m="1" x="7"/>
        <item m="1" x="10"/>
        <item h="1" x="4"/>
        <item m="1" x="9"/>
        <item x="0"/>
        <item m="1" x="8"/>
        <item m="1" x="5"/>
        <item m="1" x="12"/>
        <item m="1" x="6"/>
        <item x="1"/>
        <item x="2"/>
        <item x="3"/>
      </items>
    </pivotField>
    <pivotField compact="0" numFmtId="1" outline="0" subtotalTop="0" showAll="0" includeNewItemsInFilter="1"/>
    <pivotField compact="0" outline="0" subtotalTop="0" showAll="0" includeNewItemsInFilter="1"/>
    <pivotField compact="0" outline="0" subtotalTop="0" showAll="0" includeNewItemsInFilter="1"/>
    <pivotField axis="axisRow" compact="0" numFmtId="164" outline="0" subtotalTop="0" showAll="0" includeNewItemsInFilter="1">
      <items count="32">
        <item m="1" x="16"/>
        <item x="0"/>
        <item x="2"/>
        <item x="3"/>
        <item x="6"/>
        <item x="7"/>
        <item m="1" x="17"/>
        <item m="1" x="19"/>
        <item m="1" x="20"/>
        <item m="1" x="24"/>
        <item m="1" x="27"/>
        <item x="5"/>
        <item m="1" x="22"/>
        <item m="1" x="29"/>
        <item x="1"/>
        <item m="1" x="23"/>
        <item m="1" x="25"/>
        <item m="1" x="26"/>
        <item m="1" x="18"/>
        <item m="1" x="30"/>
        <item m="1" x="8"/>
        <item m="1" x="9"/>
        <item m="1" x="10"/>
        <item m="1" x="11"/>
        <item m="1" x="14"/>
        <item m="1" x="15"/>
        <item m="1" x="21"/>
        <item m="1" x="13"/>
        <item m="1" x="28"/>
        <item m="1" x="12"/>
        <item x="4"/>
        <item t="default"/>
      </items>
    </pivotField>
    <pivotField compact="0" numFmtId="164" outline="0" subtotalTop="0" showAll="0" includeNewItemsInFilter="1"/>
    <pivotField compact="0" numFmtId="20" outline="0" subtotalTop="0" showAll="0" includeNewItemsInFilter="1"/>
    <pivotField compact="0" numFmtId="1" outline="0" subtotalTop="0" showAll="0" includeNewItemsInFilter="1"/>
    <pivotField compact="0" numFmtId="1" outline="0" subtotalTop="0" showAll="0" includeNewItemsInFilter="1"/>
    <pivotField compact="0" numFmtId="1" outline="0" subtotalTop="0" showAll="0" includeNewItemsInFilter="1"/>
    <pivotField compact="0" outline="0" subtotalTop="0" showAll="0" includeNewItemsInFilter="1"/>
    <pivotField compact="0" outline="0" subtotalTop="0" showAll="0" includeNewItemsInFilter="1"/>
    <pivotField compact="0" numFmtId="1" outline="0" subtotalTop="0" showAll="0" includeNewItemsInFilter="1"/>
    <pivotField compact="0" outline="0" subtotalTop="0" showAll="0" includeNewItemsInFilter="1"/>
    <pivotField compact="0" numFmtId="1" outline="0" subtotalTop="0" showAll="0" includeNewItemsInFilter="1"/>
    <pivotField compact="0" numFmtId="1" outline="0" subtotalTop="0" showAll="0" includeNewItemsInFilter="1"/>
    <pivotField axis="axisCol" compact="0" outline="0" subtotalTop="0" showAll="0" includeNewItemsInFilter="1">
      <items count="19">
        <item m="1" x="11"/>
        <item m="1" x="13"/>
        <item x="3"/>
        <item x="4"/>
        <item m="1" x="8"/>
        <item m="1" x="6"/>
        <item m="1" x="16"/>
        <item m="1" x="12"/>
        <item m="1" x="9"/>
        <item m="1" x="14"/>
        <item x="1"/>
        <item m="1" x="15"/>
        <item x="2"/>
        <item m="1" x="5"/>
        <item m="1" x="10"/>
        <item m="1" x="17"/>
        <item m="1" x="7"/>
        <item x="0"/>
        <item t="default"/>
      </items>
    </pivotField>
  </pivotFields>
  <rowFields count="1">
    <field x="4"/>
  </rowFields>
  <rowItems count="7">
    <i>
      <x v="1"/>
    </i>
    <i>
      <x v="2"/>
    </i>
    <i>
      <x v="3"/>
    </i>
    <i>
      <x v="11"/>
    </i>
    <i>
      <x v="14"/>
    </i>
    <i>
      <x v="30"/>
    </i>
    <i t="grand">
      <x/>
    </i>
  </rowItems>
  <colFields count="2">
    <field x="0"/>
    <field x="16"/>
  </colFields>
  <colItems count="5">
    <i>
      <x v="6"/>
      <x v="17"/>
    </i>
    <i>
      <x v="11"/>
      <x v="10"/>
    </i>
    <i>
      <x v="12"/>
      <x v="12"/>
    </i>
    <i>
      <x v="13"/>
      <x v="10"/>
    </i>
    <i t="grand">
      <x/>
    </i>
  </colItems>
  <dataFields count="1">
    <dataField name="Count of TT" fld="0" subtotal="count" baseField="0" baseItem="0"/>
  </dataField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2" cacheId="21" dataOnRows="1" applyNumberFormats="0" applyBorderFormats="0" applyFontFormats="0" applyPatternFormats="0" applyAlignmentFormats="0" applyWidthHeightFormats="1" dataCaption="Data" updatedVersion="4" minRefreshableVersion="3" showMultipleLabel="0" showMemberPropertyTips="0" useAutoFormatting="1" itemPrintTitles="1" createdVersion="3" indent="0" compact="0" compactData="0" gridDropZones="1">
  <location ref="C25:D30" firstHeaderRow="2" firstDataRow="2" firstDataCol="1"/>
  <pivotFields count="17">
    <pivotField dataField="1" compact="0" numFmtId="1" outline="0" subtotalTop="0" showAll="0" includeNewItemsInFilter="1"/>
    <pivotField compact="0" numFmtId="1" outline="0" subtotalTop="0" showAll="0" includeNewItemsInFilter="1"/>
    <pivotField compact="0" numFmtId="1" outline="0" subtotalTop="0" showAll="0" includeNewItemsInFilter="1"/>
    <pivotField compact="0" outline="0" subtotalTop="0" showAll="0" includeNewItemsInFilter="1"/>
    <pivotField compact="0" numFmtId="164" outline="0" subtotalTop="0" showAll="0" includeNewItemsInFilter="1"/>
    <pivotField compact="0" numFmtId="164" outline="0" subtotalTop="0" showAll="0" includeNewItemsInFilter="1"/>
    <pivotField compact="0" numFmtId="20" outline="0" subtotalTop="0" showAll="0" includeNewItemsInFilter="1"/>
    <pivotField compact="0" numFmtId="1" outline="0" subtotalTop="0" showAll="0" includeNewItemsInFilter="1"/>
    <pivotField compact="0" numFmtId="1" outline="0" subtotalTop="0" showAll="0" includeNewItemsInFilter="1"/>
    <pivotField compact="0" numFmtId="1" outline="0" subtotalTop="0" showAll="0" includeNewItemsInFilter="1"/>
    <pivotField compact="0" outline="0" subtotalTop="0" showAll="0" includeNewItemsInFilter="1"/>
    <pivotField compact="0" outline="0" subtotalTop="0" showAll="0" includeNewItemsInFilter="1"/>
    <pivotField compact="0" numFmtId="1" outline="0" subtotalTop="0" showAll="0" includeNewItemsInFilter="1"/>
    <pivotField compact="0" outline="0" subtotalTop="0" showAll="0" includeNewItemsInFilter="1"/>
    <pivotField compact="0" numFmtId="1" outline="0" subtotalTop="0" showAll="0" includeNewItemsInFilter="1"/>
    <pivotField compact="0" numFmtId="1" outline="0" subtotalTop="0" showAll="0" includeNewItemsInFilter="1"/>
    <pivotField axis="axisRow" compact="0" outline="0" subtotalTop="0" showAll="0" includeNewItemsInFilter="1">
      <items count="7">
        <item m="1" x="5"/>
        <item h="1" x="4"/>
        <item h="1" x="3"/>
        <item x="0"/>
        <item x="1"/>
        <item x="2"/>
        <item t="default"/>
      </items>
    </pivotField>
  </pivotFields>
  <rowFields count="1">
    <field x="16"/>
  </rowFields>
  <rowItems count="4">
    <i>
      <x v="3"/>
    </i>
    <i>
      <x v="4"/>
    </i>
    <i>
      <x v="5"/>
    </i>
    <i t="grand">
      <x/>
    </i>
  </rowItems>
  <colItems count="1">
    <i/>
  </colItems>
  <dataFields count="1">
    <dataField name="Count of TT" fld="0" subtotal="count" baseField="0" baseItem="0"/>
  </dataField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21" dataOnRows="1" applyNumberFormats="0" applyBorderFormats="0" applyFontFormats="0" applyPatternFormats="0" applyAlignmentFormats="0" applyWidthHeightFormats="1" dataCaption="Data" updatedVersion="4" minRefreshableVersion="3" showMultipleLabel="0" showMemberPropertyTips="0" useAutoFormatting="1" itemPrintTitles="1" createdVersion="3" indent="0" compact="0" compactData="0" gridDropZones="1">
  <location ref="C6:G11" firstHeaderRow="1" firstDataRow="2" firstDataCol="1"/>
  <pivotFields count="17">
    <pivotField dataField="1" compact="0" numFmtId="1" outline="0" subtotalTop="0" showAll="0" includeNewItemsInFilter="1"/>
    <pivotField compact="0" numFmtId="1" outline="0" subtotalTop="0" showAll="0" includeNewItemsInFilter="1"/>
    <pivotField compact="0" numFmtId="1" outline="0" subtotalTop="0" showAll="0" includeNewItemsInFilter="1"/>
    <pivotField compact="0" outline="0" subtotalTop="0" showAll="0" includeNewItemsInFilter="1"/>
    <pivotField compact="0" numFmtId="164" outline="0" subtotalTop="0" showAll="0" includeNewItemsInFilter="1"/>
    <pivotField compact="0" numFmtId="164" outline="0" subtotalTop="0" showAll="0" includeNewItemsInFilter="1"/>
    <pivotField compact="0" numFmtId="20" outline="0" subtotalTop="0" showAll="0" includeNewItemsInFilter="1"/>
    <pivotField compact="0" numFmtId="1" outline="0" subtotalTop="0" showAll="0" includeNewItemsInFilter="1"/>
    <pivotField compact="0" numFmtId="1" outline="0" subtotalTop="0" showAll="0" includeNewItemsInFilter="1"/>
    <pivotField compact="0" numFmtId="1" outline="0" subtotalTop="0" showAll="0" includeNewItemsInFilter="1"/>
    <pivotField compact="0" outline="0" subtotalTop="0" showAll="0" includeNewItemsInFilter="1"/>
    <pivotField compact="0" outline="0" subtotalTop="0" showAll="0" includeNewItemsInFilter="1"/>
    <pivotField compact="0" numFmtId="1" outline="0" subtotalTop="0" showAll="0" includeNewItemsInFilter="1"/>
    <pivotField axis="axisRow" compact="0" outline="0" subtotalTop="0" showAll="0" includeNewItemsInFilter="1">
      <items count="7">
        <item m="1" x="5"/>
        <item h="1" x="4"/>
        <item h="1" x="3"/>
        <item x="0"/>
        <item x="1"/>
        <item x="2"/>
        <item t="default"/>
      </items>
    </pivotField>
    <pivotField compact="0" numFmtId="1" outline="0" subtotalTop="0" showAll="0" includeNewItemsInFilter="1"/>
    <pivotField compact="0" numFmtId="1" outline="0" subtotalTop="0" showAll="0" includeNewItemsInFilter="1"/>
    <pivotField axis="axisCol" compact="0" outline="0" subtotalTop="0" showAll="0" includeNewItemsInFilter="1">
      <items count="7">
        <item m="1" x="5"/>
        <item x="4"/>
        <item x="3"/>
        <item x="0"/>
        <item x="1"/>
        <item x="2"/>
        <item t="default"/>
      </items>
    </pivotField>
  </pivotFields>
  <rowFields count="1">
    <field x="13"/>
  </rowFields>
  <rowItems count="4">
    <i>
      <x v="3"/>
    </i>
    <i>
      <x v="4"/>
    </i>
    <i>
      <x v="5"/>
    </i>
    <i t="grand">
      <x/>
    </i>
  </rowItems>
  <colFields count="1">
    <field x="16"/>
  </colFields>
  <colItems count="4">
    <i>
      <x v="3"/>
    </i>
    <i>
      <x v="4"/>
    </i>
    <i>
      <x v="5"/>
    </i>
    <i t="grand">
      <x/>
    </i>
  </colItems>
  <dataFields count="1">
    <dataField name="Count of TT" fld="0" subtotal="count" baseField="0" baseItem="0"/>
  </dataField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63"/>
  <sheetViews>
    <sheetView workbookViewId="0">
      <selection activeCell="E4" sqref="E4"/>
    </sheetView>
  </sheetViews>
  <sheetFormatPr defaultColWidth="8" defaultRowHeight="12.75" x14ac:dyDescent="0.2"/>
  <cols>
    <col min="1" max="1" width="8" style="2" customWidth="1"/>
    <col min="2" max="2" width="16.140625" style="2" customWidth="1"/>
    <col min="3" max="16384" width="8" style="2"/>
  </cols>
  <sheetData>
    <row r="2" spans="1:3" ht="18.75" x14ac:dyDescent="0.3">
      <c r="A2" s="1" t="s">
        <v>0</v>
      </c>
    </row>
    <row r="3" spans="1:3" ht="18.75" x14ac:dyDescent="0.3">
      <c r="A3" s="1"/>
    </row>
    <row r="5" spans="1:3" x14ac:dyDescent="0.2">
      <c r="B5" s="3" t="s">
        <v>1</v>
      </c>
      <c r="C5" s="4" t="s">
        <v>2</v>
      </c>
    </row>
    <row r="6" spans="1:3" x14ac:dyDescent="0.2">
      <c r="A6" s="2">
        <v>1</v>
      </c>
      <c r="B6" s="2" t="s">
        <v>3</v>
      </c>
      <c r="C6" s="2" t="s">
        <v>4</v>
      </c>
    </row>
    <row r="7" spans="1:3" x14ac:dyDescent="0.2">
      <c r="A7" s="2">
        <v>2</v>
      </c>
      <c r="B7" s="2" t="s">
        <v>5</v>
      </c>
      <c r="C7" s="2" t="s">
        <v>6</v>
      </c>
    </row>
    <row r="8" spans="1:3" x14ac:dyDescent="0.2">
      <c r="A8" s="2">
        <v>3</v>
      </c>
      <c r="B8" s="2" t="s">
        <v>7</v>
      </c>
      <c r="C8" s="2" t="s">
        <v>8</v>
      </c>
    </row>
    <row r="9" spans="1:3" x14ac:dyDescent="0.2">
      <c r="A9" s="2">
        <v>4</v>
      </c>
      <c r="B9" s="2" t="s">
        <v>9</v>
      </c>
      <c r="C9" s="2" t="s">
        <v>10</v>
      </c>
    </row>
    <row r="10" spans="1:3" x14ac:dyDescent="0.2">
      <c r="A10" s="2">
        <v>5</v>
      </c>
      <c r="B10" s="2" t="s">
        <v>11</v>
      </c>
      <c r="C10" s="2" t="s">
        <v>12</v>
      </c>
    </row>
    <row r="11" spans="1:3" x14ac:dyDescent="0.2">
      <c r="A11" s="2">
        <v>6</v>
      </c>
      <c r="B11" s="2" t="s">
        <v>13</v>
      </c>
      <c r="C11" s="2" t="s">
        <v>14</v>
      </c>
    </row>
    <row r="13" spans="1:3" ht="18.75" x14ac:dyDescent="0.3">
      <c r="B13" s="5" t="s">
        <v>5</v>
      </c>
    </row>
    <row r="21" spans="1:3" x14ac:dyDescent="0.2">
      <c r="A21" s="2" t="s">
        <v>15</v>
      </c>
      <c r="B21" s="6" t="s">
        <v>16</v>
      </c>
      <c r="C21" s="2" t="s">
        <v>17</v>
      </c>
    </row>
    <row r="22" spans="1:3" x14ac:dyDescent="0.2">
      <c r="A22" s="2" t="s">
        <v>18</v>
      </c>
      <c r="B22" s="6" t="s">
        <v>19</v>
      </c>
      <c r="C22" s="2" t="s">
        <v>20</v>
      </c>
    </row>
    <row r="23" spans="1:3" x14ac:dyDescent="0.2">
      <c r="A23" s="2" t="s">
        <v>21</v>
      </c>
      <c r="B23" s="166" t="s">
        <v>90</v>
      </c>
      <c r="C23" s="167" t="s">
        <v>101</v>
      </c>
    </row>
    <row r="24" spans="1:3" x14ac:dyDescent="0.2">
      <c r="A24" s="2" t="s">
        <v>22</v>
      </c>
      <c r="B24" s="166" t="s">
        <v>89</v>
      </c>
      <c r="C24" s="167" t="s">
        <v>102</v>
      </c>
    </row>
    <row r="25" spans="1:3" x14ac:dyDescent="0.2">
      <c r="A25" s="167" t="s">
        <v>24</v>
      </c>
      <c r="B25" s="168" t="s">
        <v>63</v>
      </c>
      <c r="C25" s="167" t="s">
        <v>105</v>
      </c>
    </row>
    <row r="26" spans="1:3" x14ac:dyDescent="0.2">
      <c r="A26" s="167" t="s">
        <v>27</v>
      </c>
      <c r="B26" s="168" t="s">
        <v>64</v>
      </c>
      <c r="C26" s="167" t="s">
        <v>106</v>
      </c>
    </row>
    <row r="27" spans="1:3" x14ac:dyDescent="0.2">
      <c r="A27" s="167" t="s">
        <v>30</v>
      </c>
      <c r="B27" s="168" t="s">
        <v>70</v>
      </c>
      <c r="C27" s="167" t="s">
        <v>107</v>
      </c>
    </row>
    <row r="28" spans="1:3" x14ac:dyDescent="0.2">
      <c r="A28" s="167" t="s">
        <v>91</v>
      </c>
      <c r="B28" s="168" t="s">
        <v>65</v>
      </c>
      <c r="C28" s="167" t="s">
        <v>108</v>
      </c>
    </row>
    <row r="29" spans="1:3" x14ac:dyDescent="0.2">
      <c r="A29" s="167" t="s">
        <v>92</v>
      </c>
      <c r="B29" s="168" t="s">
        <v>42</v>
      </c>
      <c r="C29" s="167" t="s">
        <v>109</v>
      </c>
    </row>
    <row r="30" spans="1:3" x14ac:dyDescent="0.2">
      <c r="A30" s="167" t="s">
        <v>93</v>
      </c>
      <c r="B30" s="168" t="s">
        <v>67</v>
      </c>
      <c r="C30" s="167" t="s">
        <v>110</v>
      </c>
    </row>
    <row r="31" spans="1:3" x14ac:dyDescent="0.2">
      <c r="A31" s="167" t="s">
        <v>94</v>
      </c>
      <c r="B31" s="168" t="s">
        <v>103</v>
      </c>
      <c r="C31" s="167" t="s">
        <v>111</v>
      </c>
    </row>
    <row r="32" spans="1:3" x14ac:dyDescent="0.2">
      <c r="A32" s="167" t="s">
        <v>95</v>
      </c>
      <c r="B32" s="168" t="s">
        <v>104</v>
      </c>
      <c r="C32" s="167" t="s">
        <v>111</v>
      </c>
    </row>
    <row r="33" spans="1:3" x14ac:dyDescent="0.2">
      <c r="A33" s="167" t="s">
        <v>96</v>
      </c>
      <c r="B33" s="168" t="s">
        <v>59</v>
      </c>
      <c r="C33" s="167" t="s">
        <v>112</v>
      </c>
    </row>
    <row r="34" spans="1:3" x14ac:dyDescent="0.2">
      <c r="A34" s="167" t="s">
        <v>97</v>
      </c>
      <c r="B34" s="168" t="s">
        <v>113</v>
      </c>
      <c r="C34" s="167" t="s">
        <v>31</v>
      </c>
    </row>
    <row r="35" spans="1:3" x14ac:dyDescent="0.2">
      <c r="A35" s="167" t="s">
        <v>98</v>
      </c>
      <c r="B35" s="169" t="s">
        <v>25</v>
      </c>
      <c r="C35" s="2" t="s">
        <v>26</v>
      </c>
    </row>
    <row r="36" spans="1:3" x14ac:dyDescent="0.2">
      <c r="A36" s="167" t="s">
        <v>99</v>
      </c>
      <c r="B36" s="169" t="s">
        <v>28</v>
      </c>
      <c r="C36" s="2" t="s">
        <v>29</v>
      </c>
    </row>
    <row r="37" spans="1:3" x14ac:dyDescent="0.2">
      <c r="A37" s="167" t="s">
        <v>100</v>
      </c>
      <c r="B37" s="168" t="s">
        <v>114</v>
      </c>
      <c r="C37" s="2" t="s">
        <v>31</v>
      </c>
    </row>
    <row r="38" spans="1:3" x14ac:dyDescent="0.2">
      <c r="C38" s="2" t="s">
        <v>32</v>
      </c>
    </row>
    <row r="44" spans="1:3" ht="18.75" x14ac:dyDescent="0.3">
      <c r="B44" s="5" t="s">
        <v>7</v>
      </c>
    </row>
    <row r="51" spans="2:2" ht="18.75" x14ac:dyDescent="0.3">
      <c r="B51" s="5" t="s">
        <v>9</v>
      </c>
    </row>
    <row r="57" spans="2:2" ht="18.75" x14ac:dyDescent="0.3">
      <c r="B57" s="5" t="s">
        <v>11</v>
      </c>
    </row>
    <row r="63" spans="2:2" ht="18.75" x14ac:dyDescent="0.3">
      <c r="B63" s="5" t="s">
        <v>13</v>
      </c>
    </row>
  </sheetData>
  <phoneticPr fontId="16" type="noConversion"/>
  <pageMargins left="0.75" right="0.75" top="1" bottom="1" header="0.5" footer="0.5"/>
  <pageSetup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CL102"/>
  <sheetViews>
    <sheetView showGridLines="0" tabSelected="1" zoomScale="75" workbookViewId="0">
      <selection activeCell="AB30" sqref="AB30"/>
    </sheetView>
  </sheetViews>
  <sheetFormatPr defaultColWidth="8" defaultRowHeight="12.75" x14ac:dyDescent="0.2"/>
  <cols>
    <col min="1" max="1" width="8" style="2" customWidth="1"/>
    <col min="2" max="4" width="5" style="2" customWidth="1"/>
    <col min="5" max="5" width="7.5703125" style="2" bestFit="1" customWidth="1"/>
    <col min="6" max="6" width="8.42578125" style="2" hidden="1" customWidth="1"/>
    <col min="7" max="7" width="8.5703125" style="2" hidden="1" customWidth="1"/>
    <col min="8" max="8" width="8.140625" style="2" hidden="1" customWidth="1"/>
    <col min="9" max="9" width="5.7109375" style="2" customWidth="1"/>
    <col min="10" max="10" width="3.5703125" style="2" customWidth="1"/>
    <col min="11" max="11" width="6.7109375" style="2" customWidth="1"/>
    <col min="12" max="12" width="17.28515625" style="2" customWidth="1"/>
    <col min="13" max="13" width="14.85546875" style="2" customWidth="1"/>
    <col min="14" max="14" width="6.7109375" style="2" customWidth="1"/>
    <col min="15" max="15" width="10" style="2" customWidth="1"/>
    <col min="16" max="16" width="9.140625" style="2" customWidth="1"/>
    <col min="17" max="17" width="10.5703125" style="2" customWidth="1"/>
    <col min="18" max="18" width="11.85546875" style="2" customWidth="1"/>
    <col min="19" max="19" width="6.7109375" style="2" customWidth="1"/>
    <col min="20" max="20" width="1.140625" style="2" customWidth="1"/>
    <col min="21" max="22" width="6.7109375" style="2" customWidth="1"/>
    <col min="23" max="23" width="1.140625" style="2" customWidth="1"/>
    <col min="24" max="25" width="6.7109375" style="2" customWidth="1"/>
    <col min="26" max="26" width="1.140625" style="2" customWidth="1"/>
    <col min="27" max="28" width="6.7109375" style="2" customWidth="1"/>
    <col min="29" max="29" width="1.140625" style="2" customWidth="1"/>
    <col min="30" max="31" width="6.7109375" style="2" customWidth="1"/>
    <col min="32" max="32" width="1.140625" style="2" customWidth="1"/>
    <col min="33" max="34" width="6.7109375" style="2" customWidth="1"/>
    <col min="35" max="35" width="1.140625" style="2" customWidth="1"/>
    <col min="36" max="37" width="6.7109375" style="2" customWidth="1"/>
    <col min="38" max="38" width="1.140625" style="2" customWidth="1"/>
    <col min="39" max="39" width="6.7109375" style="2" customWidth="1"/>
    <col min="40" max="40" width="4.85546875" style="2" customWidth="1"/>
    <col min="41" max="41" width="6.7109375" style="2" customWidth="1"/>
    <col min="42" max="42" width="1.140625" style="2" customWidth="1"/>
    <col min="43" max="44" width="6.7109375" style="2" customWidth="1"/>
    <col min="45" max="45" width="1.140625" style="2" customWidth="1"/>
    <col min="46" max="47" width="6.7109375" style="2" customWidth="1"/>
    <col min="48" max="48" width="1.140625" style="2" customWidth="1"/>
    <col min="49" max="50" width="6.7109375" style="2" customWidth="1"/>
    <col min="51" max="51" width="1.140625" style="2" customWidth="1"/>
    <col min="52" max="53" width="6.7109375" style="2" customWidth="1"/>
    <col min="54" max="54" width="1.140625" style="2" customWidth="1"/>
    <col min="55" max="56" width="6.7109375" style="2" customWidth="1"/>
    <col min="57" max="57" width="1.140625" style="2" customWidth="1"/>
    <col min="58" max="59" width="6.7109375" style="2" customWidth="1"/>
    <col min="60" max="60" width="1.140625" style="2" customWidth="1"/>
    <col min="61" max="61" width="6.7109375" style="2" customWidth="1"/>
    <col min="62" max="62" width="5.5703125" style="2" customWidth="1"/>
    <col min="63" max="65" width="8" style="2" customWidth="1"/>
    <col min="66" max="66" width="11" style="2" customWidth="1"/>
    <col min="67" max="16384" width="8" style="2"/>
  </cols>
  <sheetData>
    <row r="1" spans="1:90" x14ac:dyDescent="0.2">
      <c r="B1" s="7"/>
      <c r="C1" s="8"/>
      <c r="D1" s="8"/>
      <c r="E1" s="8"/>
      <c r="F1" s="8"/>
      <c r="G1" s="8"/>
      <c r="H1" s="8"/>
      <c r="I1" s="8"/>
      <c r="J1" s="8"/>
      <c r="K1" s="8"/>
      <c r="L1" s="8"/>
      <c r="M1" s="8"/>
      <c r="N1" s="8"/>
      <c r="O1" s="8"/>
      <c r="P1" s="8"/>
      <c r="Q1" s="8"/>
      <c r="R1" s="9"/>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c r="BC1" s="10"/>
      <c r="BD1" s="10"/>
      <c r="BE1" s="10"/>
      <c r="BF1" s="10"/>
      <c r="BG1" s="10"/>
      <c r="BH1" s="10"/>
      <c r="BI1" s="10"/>
      <c r="BJ1" s="10"/>
    </row>
    <row r="2" spans="1:90" x14ac:dyDescent="0.2">
      <c r="B2" s="11"/>
      <c r="C2" s="12"/>
      <c r="D2" s="12"/>
      <c r="E2" s="12"/>
      <c r="F2" s="12"/>
      <c r="G2" s="12"/>
      <c r="H2" s="12"/>
      <c r="I2" s="12"/>
      <c r="J2" s="12"/>
      <c r="K2" s="12"/>
      <c r="L2" s="12"/>
      <c r="M2" s="12"/>
      <c r="N2" s="12"/>
      <c r="O2" s="12"/>
      <c r="P2" s="12"/>
      <c r="Q2" s="12"/>
      <c r="R2" s="13"/>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row>
    <row r="3" spans="1:90" ht="15.75" x14ac:dyDescent="0.25">
      <c r="A3" s="14"/>
      <c r="B3" s="11"/>
      <c r="C3" s="12"/>
      <c r="D3" s="12"/>
      <c r="E3" s="12"/>
      <c r="F3" s="12"/>
      <c r="G3" s="12"/>
      <c r="H3" s="12"/>
      <c r="I3" s="12"/>
      <c r="J3" s="12"/>
      <c r="K3" s="12"/>
      <c r="L3" s="12"/>
      <c r="M3" s="12"/>
      <c r="N3" s="12"/>
      <c r="O3" s="98"/>
      <c r="P3" s="12"/>
      <c r="Q3" s="12"/>
      <c r="R3" s="13"/>
      <c r="S3" s="15" t="str">
        <f>"Week 1 - " &amp; Coverage!E1</f>
        <v>Week 1 - Unit 1, Scenario 1</v>
      </c>
      <c r="T3" s="15"/>
      <c r="U3" s="16"/>
      <c r="V3" s="16"/>
      <c r="W3" s="16"/>
      <c r="X3" s="16"/>
      <c r="Y3" s="16"/>
      <c r="Z3" s="16"/>
      <c r="AA3" s="16"/>
      <c r="AB3" s="16"/>
      <c r="AC3" s="16"/>
      <c r="AD3" s="16"/>
      <c r="AE3" s="16"/>
      <c r="AF3" s="16"/>
      <c r="AG3" s="16"/>
      <c r="AH3" s="16"/>
      <c r="AI3" s="16"/>
      <c r="AJ3" s="16"/>
      <c r="AK3" s="16"/>
      <c r="AL3" s="16"/>
      <c r="AM3" s="16"/>
      <c r="AN3" s="10"/>
      <c r="AO3" s="15" t="str">
        <f>"Week 2 - " &amp; Coverage!E1</f>
        <v>Week 2 - Unit 1, Scenario 1</v>
      </c>
      <c r="AP3" s="15"/>
      <c r="AQ3" s="16"/>
      <c r="AR3" s="16"/>
      <c r="AS3" s="16"/>
      <c r="AT3" s="16"/>
      <c r="AU3" s="16"/>
      <c r="AV3" s="16"/>
      <c r="AW3" s="16"/>
      <c r="AX3" s="16"/>
      <c r="AY3" s="16"/>
      <c r="AZ3" s="16"/>
      <c r="BA3" s="16"/>
      <c r="BB3" s="16"/>
      <c r="BC3" s="16"/>
      <c r="BD3" s="16"/>
      <c r="BE3" s="16"/>
      <c r="BF3" s="16"/>
      <c r="BG3" s="16"/>
      <c r="BH3" s="16"/>
      <c r="BI3" s="16"/>
      <c r="BJ3" s="10"/>
    </row>
    <row r="4" spans="1:90" x14ac:dyDescent="0.2">
      <c r="B4" s="17"/>
      <c r="C4" s="18"/>
      <c r="D4" s="18"/>
      <c r="E4" s="18"/>
      <c r="F4" s="18"/>
      <c r="G4" s="18"/>
      <c r="H4" s="18"/>
      <c r="I4" s="18"/>
      <c r="J4" s="18"/>
      <c r="K4" s="18"/>
      <c r="L4" s="18"/>
      <c r="M4" s="18"/>
      <c r="N4" s="18"/>
      <c r="O4" s="18"/>
      <c r="P4" s="18"/>
      <c r="Q4" s="18"/>
      <c r="R4" s="19"/>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L4" s="115"/>
      <c r="BM4" s="115"/>
      <c r="BN4" s="115"/>
    </row>
    <row r="5" spans="1:90" x14ac:dyDescent="0.2">
      <c r="B5" s="6" t="s">
        <v>16</v>
      </c>
      <c r="C5" s="20" t="s">
        <v>19</v>
      </c>
      <c r="D5" s="20" t="s">
        <v>73</v>
      </c>
      <c r="E5" s="20" t="s">
        <v>89</v>
      </c>
      <c r="F5" s="20" t="s">
        <v>63</v>
      </c>
      <c r="G5" s="20" t="s">
        <v>64</v>
      </c>
      <c r="H5" s="20" t="s">
        <v>70</v>
      </c>
      <c r="I5" s="20" t="s">
        <v>65</v>
      </c>
      <c r="J5" s="20" t="s">
        <v>42</v>
      </c>
      <c r="K5" s="20" t="s">
        <v>67</v>
      </c>
      <c r="L5" s="20" t="s">
        <v>71</v>
      </c>
      <c r="M5" s="20" t="s">
        <v>72</v>
      </c>
      <c r="N5" s="20" t="s">
        <v>59</v>
      </c>
      <c r="O5" s="20" t="s">
        <v>23</v>
      </c>
      <c r="P5" s="20" t="s">
        <v>25</v>
      </c>
      <c r="Q5" s="20" t="s">
        <v>28</v>
      </c>
      <c r="R5" s="20" t="s">
        <v>2</v>
      </c>
      <c r="S5" s="21" t="s">
        <v>33</v>
      </c>
      <c r="T5" s="21"/>
      <c r="U5" s="22"/>
      <c r="V5" s="21" t="s">
        <v>34</v>
      </c>
      <c r="W5" s="21"/>
      <c r="X5" s="22"/>
      <c r="Y5" s="21" t="s">
        <v>35</v>
      </c>
      <c r="Z5" s="21"/>
      <c r="AA5" s="22"/>
      <c r="AB5" s="21" t="s">
        <v>36</v>
      </c>
      <c r="AC5" s="21"/>
      <c r="AD5" s="22"/>
      <c r="AE5" s="21" t="s">
        <v>37</v>
      </c>
      <c r="AF5" s="21"/>
      <c r="AG5" s="22"/>
      <c r="AH5" s="21" t="s">
        <v>38</v>
      </c>
      <c r="AI5" s="21"/>
      <c r="AJ5" s="22"/>
      <c r="AK5" s="21" t="s">
        <v>39</v>
      </c>
      <c r="AL5" s="21"/>
      <c r="AM5" s="22"/>
      <c r="AN5" s="23" t="s">
        <v>40</v>
      </c>
      <c r="AO5" s="21" t="s">
        <v>33</v>
      </c>
      <c r="AP5" s="21"/>
      <c r="AQ5" s="22"/>
      <c r="AR5" s="21" t="s">
        <v>34</v>
      </c>
      <c r="AS5" s="21"/>
      <c r="AT5" s="22"/>
      <c r="AU5" s="21" t="s">
        <v>35</v>
      </c>
      <c r="AV5" s="21"/>
      <c r="AW5" s="22"/>
      <c r="AX5" s="21" t="s">
        <v>36</v>
      </c>
      <c r="AY5" s="21"/>
      <c r="AZ5" s="22"/>
      <c r="BA5" s="21" t="s">
        <v>37</v>
      </c>
      <c r="BB5" s="21"/>
      <c r="BC5" s="22"/>
      <c r="BD5" s="21" t="s">
        <v>38</v>
      </c>
      <c r="BE5" s="21"/>
      <c r="BF5" s="22"/>
      <c r="BG5" s="21" t="s">
        <v>39</v>
      </c>
      <c r="BH5" s="21"/>
      <c r="BI5" s="22"/>
      <c r="BJ5" s="23" t="s">
        <v>40</v>
      </c>
      <c r="BK5" s="23" t="s">
        <v>41</v>
      </c>
      <c r="BL5" s="115"/>
      <c r="BM5" s="115"/>
      <c r="BN5" s="115"/>
    </row>
    <row r="6" spans="1:90" s="148" customFormat="1" ht="24.95" customHeight="1" x14ac:dyDescent="0.25">
      <c r="A6" s="137"/>
      <c r="B6" s="137">
        <v>1</v>
      </c>
      <c r="C6" s="137">
        <v>1</v>
      </c>
      <c r="D6" s="138"/>
      <c r="E6" s="138"/>
      <c r="F6" s="139">
        <f t="shared" ref="F6:F41" si="0">TourMinStartTime(S6:AM6,AO6:BI6)</f>
        <v>0.20833333333333334</v>
      </c>
      <c r="G6" s="139">
        <f>TourMaxStartTime(S6:AM6,AO6:BI6)</f>
        <v>0.20833333333333334</v>
      </c>
      <c r="H6" s="140">
        <f>(G6-F6)</f>
        <v>0</v>
      </c>
      <c r="I6" s="141">
        <f>TourMaxWorkStretch(TRUE,S6:AM6,AO6:BI6)</f>
        <v>3</v>
      </c>
      <c r="J6" s="141">
        <f>TourMaxOffStretch(TRUE,S6:AM6,AO6:BI6)</f>
        <v>2</v>
      </c>
      <c r="K6" s="141">
        <f>TourWeekendDaysWorked(WeekendMidnightThreshold,S6:AM6,AO6:BI6)</f>
        <v>2</v>
      </c>
      <c r="L6" s="141" t="str">
        <f t="shared" ref="L6:L42" si="1">IF(FIND(TEXT(AN6,"0"),VLOOKUP(B6,Tour_Type_SchedHours,3))&gt;0,"OK","ERROR")</f>
        <v>OK</v>
      </c>
      <c r="M6" s="141" t="str">
        <f t="shared" ref="M6:M42" si="2">IF(FIND(TEXT(BJ6,"0"),VLOOKUP(B6,Tour_Type_SchedHours,3))&gt;0,"OK","ERROR")</f>
        <v>OK</v>
      </c>
      <c r="N6" s="141">
        <f t="shared" ref="N6:N42" si="3">BK6-VLOOKUP(B6,Tour_Type_SchedHours,2)</f>
        <v>-4</v>
      </c>
      <c r="O6" s="142" t="str">
        <f t="shared" ref="O6:O41" si="4">VLOOKUP(B6,Nurse_Labels,2)</f>
        <v>PT4</v>
      </c>
      <c r="P6" s="137">
        <f t="shared" ref="P6:P41" si="5">TourMaxShiftLength(S6:AM6)</f>
        <v>4</v>
      </c>
      <c r="Q6" s="137">
        <f t="shared" ref="Q6:Q41" si="6">TourNumDaysWorked(S6:AM6)</f>
        <v>5</v>
      </c>
      <c r="R6" s="137" t="str">
        <f t="shared" ref="R6:R41" si="7">VLOOKUP(B6,Tour_Type_Labels,2)</f>
        <v>PT4</v>
      </c>
      <c r="S6" s="82"/>
      <c r="T6" s="83" t="s">
        <v>42</v>
      </c>
      <c r="U6" s="84"/>
      <c r="V6" s="85">
        <v>0.20833333333333334</v>
      </c>
      <c r="W6" s="83" t="s">
        <v>43</v>
      </c>
      <c r="X6" s="84">
        <v>0.375</v>
      </c>
      <c r="Y6" s="85">
        <v>0.20833333333333334</v>
      </c>
      <c r="Z6" s="83" t="s">
        <v>43</v>
      </c>
      <c r="AA6" s="84">
        <v>0.375</v>
      </c>
      <c r="AB6" s="85">
        <v>0.20833333333333334</v>
      </c>
      <c r="AC6" s="83" t="s">
        <v>43</v>
      </c>
      <c r="AD6" s="84">
        <v>0.375</v>
      </c>
      <c r="AE6" s="85"/>
      <c r="AF6" s="83" t="s">
        <v>42</v>
      </c>
      <c r="AG6" s="84"/>
      <c r="AH6" s="85">
        <v>0.20833333333333334</v>
      </c>
      <c r="AI6" s="83" t="s">
        <v>43</v>
      </c>
      <c r="AJ6" s="84">
        <v>0.375</v>
      </c>
      <c r="AK6" s="85">
        <v>0.20833333333333334</v>
      </c>
      <c r="AL6" s="83" t="s">
        <v>43</v>
      </c>
      <c r="AM6" s="84">
        <v>0.375</v>
      </c>
      <c r="AN6" s="146">
        <f>TourHours(S6:AM6,0)</f>
        <v>20</v>
      </c>
      <c r="AO6" s="82">
        <v>0.20833333333333334</v>
      </c>
      <c r="AP6" s="83" t="s">
        <v>43</v>
      </c>
      <c r="AQ6" s="84">
        <v>0.375</v>
      </c>
      <c r="AR6" s="85"/>
      <c r="AS6" s="83" t="s">
        <v>42</v>
      </c>
      <c r="AT6" s="84"/>
      <c r="AU6" s="85">
        <v>0.20833333333333334</v>
      </c>
      <c r="AV6" s="83" t="s">
        <v>43</v>
      </c>
      <c r="AW6" s="84">
        <v>0.375</v>
      </c>
      <c r="AX6" s="85"/>
      <c r="AY6" s="83" t="s">
        <v>42</v>
      </c>
      <c r="AZ6" s="84"/>
      <c r="BA6" s="85">
        <v>0.20833333333333334</v>
      </c>
      <c r="BB6" s="83" t="s">
        <v>43</v>
      </c>
      <c r="BC6" s="84">
        <v>0.375</v>
      </c>
      <c r="BD6" s="85">
        <v>0.20833333333333334</v>
      </c>
      <c r="BE6" s="83" t="s">
        <v>43</v>
      </c>
      <c r="BF6" s="84">
        <v>0.375</v>
      </c>
      <c r="BG6" s="85"/>
      <c r="BH6" s="83" t="s">
        <v>42</v>
      </c>
      <c r="BI6" s="84"/>
      <c r="BJ6" s="146">
        <f>TourHours(AO6:BI6,0)</f>
        <v>16</v>
      </c>
      <c r="BK6" s="146">
        <f>BJ6+AN6</f>
        <v>36</v>
      </c>
      <c r="BL6" s="147"/>
      <c r="BM6" s="147"/>
      <c r="BN6" s="147"/>
      <c r="BP6" s="143">
        <v>0.29166666666666669</v>
      </c>
      <c r="BQ6" s="144" t="s">
        <v>43</v>
      </c>
      <c r="BR6" s="145">
        <v>0.79166666666666674</v>
      </c>
      <c r="BS6" s="143"/>
      <c r="BT6" s="144" t="s">
        <v>42</v>
      </c>
      <c r="BU6" s="145"/>
      <c r="BV6" s="149"/>
      <c r="BW6" s="150" t="s">
        <v>42</v>
      </c>
      <c r="BX6" s="151"/>
      <c r="BY6" s="149">
        <v>0.29166666666666669</v>
      </c>
      <c r="BZ6" s="150" t="s">
        <v>43</v>
      </c>
      <c r="CA6" s="151">
        <v>0.79166666666666674</v>
      </c>
      <c r="CB6" s="149"/>
      <c r="CC6" s="150" t="s">
        <v>42</v>
      </c>
      <c r="CD6" s="151"/>
      <c r="CE6" s="143">
        <v>0.29166666666666669</v>
      </c>
      <c r="CF6" s="144" t="s">
        <v>43</v>
      </c>
      <c r="CG6" s="145">
        <v>0.79166666666666674</v>
      </c>
      <c r="CH6" s="149"/>
      <c r="CI6" s="150" t="s">
        <v>42</v>
      </c>
      <c r="CJ6" s="151"/>
      <c r="CK6" s="138">
        <v>1</v>
      </c>
      <c r="CL6" s="138">
        <v>2</v>
      </c>
    </row>
    <row r="7" spans="1:90" s="148" customFormat="1" ht="24.95" customHeight="1" x14ac:dyDescent="0.25">
      <c r="A7" s="137"/>
      <c r="B7" s="137">
        <v>3</v>
      </c>
      <c r="C7" s="137">
        <v>2</v>
      </c>
      <c r="D7" s="138"/>
      <c r="E7" s="138"/>
      <c r="F7" s="139">
        <f t="shared" si="0"/>
        <v>0.29166666666666669</v>
      </c>
      <c r="G7" s="139">
        <f t="shared" ref="G7:G41" si="8">TourMaxStartTime(S7:AM7,AO7:BI7)</f>
        <v>0.29166666666666669</v>
      </c>
      <c r="H7" s="140">
        <f t="shared" ref="H7:H41" si="9">(G7-F7)</f>
        <v>0</v>
      </c>
      <c r="I7" s="141">
        <f t="shared" ref="I7:I41" si="10">TourMaxWorkStretch(TRUE,S7:AM7,AO7:BI7)</f>
        <v>3</v>
      </c>
      <c r="J7" s="141">
        <f t="shared" ref="J7:J41" si="11">TourMaxOffStretch(TRUE,S7:AM7,AO7:BI7)</f>
        <v>5</v>
      </c>
      <c r="K7" s="141">
        <f t="shared" ref="K7:K41" si="12">TourWeekendDaysWorked(WeekendMidnightThreshold,S7:AM7,AO7:BI7)</f>
        <v>2</v>
      </c>
      <c r="L7" s="141" t="str">
        <f t="shared" si="1"/>
        <v>OK</v>
      </c>
      <c r="M7" s="141" t="str">
        <f t="shared" si="2"/>
        <v>OK</v>
      </c>
      <c r="N7" s="141">
        <f t="shared" si="3"/>
        <v>0</v>
      </c>
      <c r="O7" s="142" t="str">
        <f t="shared" si="4"/>
        <v>GS12</v>
      </c>
      <c r="P7" s="137">
        <f t="shared" si="5"/>
        <v>12.000000000000002</v>
      </c>
      <c r="Q7" s="137">
        <f t="shared" si="6"/>
        <v>3</v>
      </c>
      <c r="R7" s="137" t="str">
        <f t="shared" si="7"/>
        <v>GS12</v>
      </c>
      <c r="S7" s="82">
        <v>0.29166666666666669</v>
      </c>
      <c r="T7" s="83" t="s">
        <v>43</v>
      </c>
      <c r="U7" s="84">
        <v>0.79166666666666674</v>
      </c>
      <c r="V7" s="85"/>
      <c r="W7" s="83" t="s">
        <v>42</v>
      </c>
      <c r="X7" s="84"/>
      <c r="Y7" s="85">
        <v>0.29166666666666669</v>
      </c>
      <c r="Z7" s="83" t="s">
        <v>43</v>
      </c>
      <c r="AA7" s="84">
        <v>0.79166666666666674</v>
      </c>
      <c r="AB7" s="85">
        <v>0.29166666666666669</v>
      </c>
      <c r="AC7" s="83" t="s">
        <v>43</v>
      </c>
      <c r="AD7" s="84">
        <v>0.79166666666666674</v>
      </c>
      <c r="AE7" s="85"/>
      <c r="AF7" s="83" t="s">
        <v>42</v>
      </c>
      <c r="AG7" s="84"/>
      <c r="AH7" s="85"/>
      <c r="AI7" s="83" t="s">
        <v>42</v>
      </c>
      <c r="AJ7" s="84"/>
      <c r="AK7" s="85"/>
      <c r="AL7" s="83" t="s">
        <v>42</v>
      </c>
      <c r="AM7" s="84"/>
      <c r="AN7" s="146">
        <f t="shared" ref="AN7:AN66" si="13">TourHours(S7:AM7,0)</f>
        <v>36.000000000000007</v>
      </c>
      <c r="AO7" s="82"/>
      <c r="AP7" s="83" t="s">
        <v>42</v>
      </c>
      <c r="AQ7" s="84"/>
      <c r="AR7" s="85"/>
      <c r="AS7" s="83" t="s">
        <v>42</v>
      </c>
      <c r="AT7" s="84"/>
      <c r="AU7" s="85">
        <v>0.29166666666666669</v>
      </c>
      <c r="AV7" s="83" t="s">
        <v>43</v>
      </c>
      <c r="AW7" s="84">
        <v>0.79166666666666674</v>
      </c>
      <c r="AX7" s="85">
        <v>0.29166666666666669</v>
      </c>
      <c r="AY7" s="83" t="s">
        <v>43</v>
      </c>
      <c r="AZ7" s="84">
        <v>0.79166666666666674</v>
      </c>
      <c r="BA7" s="85">
        <v>0.29166666666666669</v>
      </c>
      <c r="BB7" s="83" t="s">
        <v>43</v>
      </c>
      <c r="BC7" s="84">
        <v>0.79166666666666674</v>
      </c>
      <c r="BD7" s="85"/>
      <c r="BE7" s="83" t="s">
        <v>42</v>
      </c>
      <c r="BF7" s="84"/>
      <c r="BG7" s="85">
        <v>0.29166666666666669</v>
      </c>
      <c r="BH7" s="83" t="s">
        <v>43</v>
      </c>
      <c r="BI7" s="84">
        <v>0.625</v>
      </c>
      <c r="BJ7" s="146">
        <f t="shared" ref="BJ7:BJ42" si="14">TourHours(AO7:BI7,0)</f>
        <v>44.000000000000007</v>
      </c>
      <c r="BK7" s="146">
        <f t="shared" ref="BK7:BK42" si="15">BJ7+AN7</f>
        <v>80.000000000000014</v>
      </c>
      <c r="BL7" s="147"/>
      <c r="BM7" s="147"/>
      <c r="BN7" s="147"/>
      <c r="BP7" s="153"/>
      <c r="BQ7" s="150" t="s">
        <v>42</v>
      </c>
      <c r="BR7" s="151"/>
      <c r="BS7" s="149">
        <v>0.29166666666666669</v>
      </c>
      <c r="BT7" s="150" t="s">
        <v>43</v>
      </c>
      <c r="BU7" s="151">
        <v>0.79166666666666674</v>
      </c>
      <c r="BV7" s="149">
        <v>0.29166666666666669</v>
      </c>
      <c r="BW7" s="150" t="s">
        <v>43</v>
      </c>
      <c r="BX7" s="151">
        <v>0.79166666666666674</v>
      </c>
      <c r="BY7" s="149"/>
      <c r="BZ7" s="150" t="s">
        <v>42</v>
      </c>
      <c r="CA7" s="151"/>
      <c r="CB7" s="149"/>
      <c r="CC7" s="150" t="s">
        <v>42</v>
      </c>
      <c r="CD7" s="151"/>
      <c r="CE7" s="149"/>
      <c r="CF7" s="150" t="s">
        <v>42</v>
      </c>
      <c r="CG7" s="151"/>
      <c r="CH7" s="149">
        <v>0.29166666666666669</v>
      </c>
      <c r="CI7" s="150" t="s">
        <v>43</v>
      </c>
      <c r="CJ7" s="151">
        <v>0.79166666666666674</v>
      </c>
      <c r="CK7" s="138">
        <v>1</v>
      </c>
      <c r="CL7" s="138">
        <v>1</v>
      </c>
    </row>
    <row r="8" spans="1:90" s="148" customFormat="1" ht="24.95" customHeight="1" x14ac:dyDescent="0.25">
      <c r="A8" s="154"/>
      <c r="B8" s="137">
        <v>3</v>
      </c>
      <c r="C8" s="137">
        <v>3</v>
      </c>
      <c r="D8" s="138"/>
      <c r="E8" s="138"/>
      <c r="F8" s="155">
        <f t="shared" si="0"/>
        <v>0.29166666666666669</v>
      </c>
      <c r="G8" s="155">
        <f t="shared" si="8"/>
        <v>0.29166666666666669</v>
      </c>
      <c r="H8" s="156">
        <f t="shared" si="9"/>
        <v>0</v>
      </c>
      <c r="I8" s="157">
        <f t="shared" si="10"/>
        <v>4</v>
      </c>
      <c r="J8" s="157">
        <f t="shared" si="11"/>
        <v>4</v>
      </c>
      <c r="K8" s="157">
        <f t="shared" si="12"/>
        <v>2</v>
      </c>
      <c r="L8" s="157" t="str">
        <f t="shared" si="1"/>
        <v>OK</v>
      </c>
      <c r="M8" s="157" t="str">
        <f t="shared" si="2"/>
        <v>OK</v>
      </c>
      <c r="N8" s="157">
        <f t="shared" si="3"/>
        <v>0</v>
      </c>
      <c r="O8" s="158" t="str">
        <f t="shared" si="4"/>
        <v>GS12</v>
      </c>
      <c r="P8" s="154">
        <f t="shared" si="5"/>
        <v>12.000000000000002</v>
      </c>
      <c r="Q8" s="154">
        <f t="shared" si="6"/>
        <v>4</v>
      </c>
      <c r="R8" s="154" t="str">
        <f t="shared" si="7"/>
        <v>GS12</v>
      </c>
      <c r="S8" s="82">
        <v>0.29166666666666669</v>
      </c>
      <c r="T8" s="83" t="s">
        <v>43</v>
      </c>
      <c r="U8" s="84">
        <v>0.625</v>
      </c>
      <c r="V8" s="85">
        <v>0.29166666666666669</v>
      </c>
      <c r="W8" s="83" t="s">
        <v>43</v>
      </c>
      <c r="X8" s="84">
        <v>0.79166666666666674</v>
      </c>
      <c r="Y8" s="85"/>
      <c r="Z8" s="83" t="s">
        <v>42</v>
      </c>
      <c r="AA8" s="84"/>
      <c r="AB8" s="85">
        <v>0.29166666666666669</v>
      </c>
      <c r="AC8" s="83" t="s">
        <v>43</v>
      </c>
      <c r="AD8" s="84">
        <v>0.79166666666666674</v>
      </c>
      <c r="AE8" s="85">
        <v>0.29166666666666669</v>
      </c>
      <c r="AF8" s="83" t="s">
        <v>43</v>
      </c>
      <c r="AG8" s="84">
        <v>0.79166666666666674</v>
      </c>
      <c r="AH8" s="85"/>
      <c r="AI8" s="83" t="s">
        <v>42</v>
      </c>
      <c r="AJ8" s="84"/>
      <c r="AK8" s="85"/>
      <c r="AL8" s="83" t="s">
        <v>42</v>
      </c>
      <c r="AM8" s="84"/>
      <c r="AN8" s="146">
        <f t="shared" si="13"/>
        <v>44</v>
      </c>
      <c r="AO8" s="82"/>
      <c r="AP8" s="83" t="s">
        <v>42</v>
      </c>
      <c r="AQ8" s="84"/>
      <c r="AR8" s="85"/>
      <c r="AS8" s="83" t="s">
        <v>42</v>
      </c>
      <c r="AT8" s="84"/>
      <c r="AU8" s="85">
        <v>0.29166666666666669</v>
      </c>
      <c r="AV8" s="83" t="s">
        <v>43</v>
      </c>
      <c r="AW8" s="84">
        <v>0.79166666666666674</v>
      </c>
      <c r="AX8" s="85"/>
      <c r="AY8" s="83" t="s">
        <v>42</v>
      </c>
      <c r="AZ8" s="84"/>
      <c r="BA8" s="85"/>
      <c r="BB8" s="83" t="s">
        <v>42</v>
      </c>
      <c r="BC8" s="84"/>
      <c r="BD8" s="85">
        <v>0.29166666666666669</v>
      </c>
      <c r="BE8" s="83" t="s">
        <v>43</v>
      </c>
      <c r="BF8" s="84">
        <v>0.79166666666666674</v>
      </c>
      <c r="BG8" s="85">
        <v>0.29166666666666669</v>
      </c>
      <c r="BH8" s="83" t="s">
        <v>43</v>
      </c>
      <c r="BI8" s="84">
        <v>0.79166666666666674</v>
      </c>
      <c r="BJ8" s="146">
        <f t="shared" si="14"/>
        <v>36.000000000000007</v>
      </c>
      <c r="BK8" s="146">
        <f t="shared" si="15"/>
        <v>80</v>
      </c>
      <c r="BL8" s="147"/>
      <c r="BM8" s="147"/>
      <c r="BN8" s="147"/>
      <c r="BP8" s="153">
        <v>0.29166666666666669</v>
      </c>
      <c r="BQ8" s="150" t="s">
        <v>43</v>
      </c>
      <c r="BR8" s="151">
        <v>0.79166666666666674</v>
      </c>
      <c r="BS8" s="149"/>
      <c r="BT8" s="150" t="s">
        <v>42</v>
      </c>
      <c r="BU8" s="151"/>
      <c r="BV8" s="143">
        <v>0.29166666666666669</v>
      </c>
      <c r="BW8" s="144" t="s">
        <v>43</v>
      </c>
      <c r="BX8" s="145">
        <v>0.79166666666666674</v>
      </c>
      <c r="BY8" s="143">
        <v>0.29166666666666669</v>
      </c>
      <c r="BZ8" s="144" t="s">
        <v>43</v>
      </c>
      <c r="CA8" s="145">
        <v>0.79166666666666674</v>
      </c>
      <c r="CB8" s="149"/>
      <c r="CC8" s="150" t="s">
        <v>42</v>
      </c>
      <c r="CD8" s="151"/>
      <c r="CE8" s="143"/>
      <c r="CF8" s="144" t="s">
        <v>42</v>
      </c>
      <c r="CG8" s="145"/>
      <c r="CH8" s="143"/>
      <c r="CI8" s="144" t="s">
        <v>42</v>
      </c>
      <c r="CJ8" s="145"/>
      <c r="CK8" s="138">
        <v>2</v>
      </c>
      <c r="CL8" s="138">
        <v>2</v>
      </c>
    </row>
    <row r="9" spans="1:90" s="148" customFormat="1" ht="24.95" customHeight="1" x14ac:dyDescent="0.25">
      <c r="A9" s="154"/>
      <c r="B9" s="137">
        <v>3</v>
      </c>
      <c r="C9" s="137">
        <v>4</v>
      </c>
      <c r="D9" s="138"/>
      <c r="E9" s="138"/>
      <c r="F9" s="155">
        <f t="shared" si="0"/>
        <v>0.29166666666666669</v>
      </c>
      <c r="G9" s="155">
        <f t="shared" si="8"/>
        <v>0.29166666666666669</v>
      </c>
      <c r="H9" s="156">
        <f t="shared" si="9"/>
        <v>0</v>
      </c>
      <c r="I9" s="157">
        <f t="shared" si="10"/>
        <v>5</v>
      </c>
      <c r="J9" s="157">
        <f t="shared" si="11"/>
        <v>3</v>
      </c>
      <c r="K9" s="157">
        <f t="shared" si="12"/>
        <v>2</v>
      </c>
      <c r="L9" s="157" t="str">
        <f t="shared" si="1"/>
        <v>OK</v>
      </c>
      <c r="M9" s="157" t="str">
        <f t="shared" si="2"/>
        <v>OK</v>
      </c>
      <c r="N9" s="157">
        <f t="shared" si="3"/>
        <v>0</v>
      </c>
      <c r="O9" s="158" t="str">
        <f t="shared" si="4"/>
        <v>GS12</v>
      </c>
      <c r="P9" s="154">
        <f t="shared" si="5"/>
        <v>12.000000000000002</v>
      </c>
      <c r="Q9" s="154">
        <f t="shared" si="6"/>
        <v>4</v>
      </c>
      <c r="R9" s="154" t="str">
        <f t="shared" si="7"/>
        <v>GS12</v>
      </c>
      <c r="S9" s="82">
        <v>0.29166666666666669</v>
      </c>
      <c r="T9" s="83" t="s">
        <v>43</v>
      </c>
      <c r="U9" s="84">
        <v>0.79166666666666674</v>
      </c>
      <c r="V9" s="85">
        <v>0.29166666666666669</v>
      </c>
      <c r="W9" s="83" t="s">
        <v>43</v>
      </c>
      <c r="X9" s="84">
        <v>0.625</v>
      </c>
      <c r="Y9" s="85">
        <v>0.29166666666666669</v>
      </c>
      <c r="Z9" s="83" t="s">
        <v>43</v>
      </c>
      <c r="AA9" s="84">
        <v>0.79166666666666674</v>
      </c>
      <c r="AB9" s="85"/>
      <c r="AC9" s="83" t="s">
        <v>42</v>
      </c>
      <c r="AD9" s="84"/>
      <c r="AE9" s="85"/>
      <c r="AF9" s="83" t="s">
        <v>42</v>
      </c>
      <c r="AG9" s="84"/>
      <c r="AH9" s="85">
        <v>0.29166666666666669</v>
      </c>
      <c r="AI9" s="83" t="s">
        <v>43</v>
      </c>
      <c r="AJ9" s="84">
        <v>0.79166666666666674</v>
      </c>
      <c r="AK9" s="85"/>
      <c r="AL9" s="83" t="s">
        <v>42</v>
      </c>
      <c r="AM9" s="84"/>
      <c r="AN9" s="146">
        <f t="shared" si="13"/>
        <v>44</v>
      </c>
      <c r="AO9" s="82"/>
      <c r="AP9" s="83" t="s">
        <v>42</v>
      </c>
      <c r="AQ9" s="84"/>
      <c r="AR9" s="85">
        <v>0.29166666666666669</v>
      </c>
      <c r="AS9" s="83" t="s">
        <v>43</v>
      </c>
      <c r="AT9" s="84">
        <v>0.79166666666666674</v>
      </c>
      <c r="AU9" s="85"/>
      <c r="AV9" s="83" t="s">
        <v>42</v>
      </c>
      <c r="AW9" s="84"/>
      <c r="AX9" s="85"/>
      <c r="AY9" s="83" t="s">
        <v>42</v>
      </c>
      <c r="AZ9" s="84"/>
      <c r="BA9" s="85"/>
      <c r="BB9" s="83" t="s">
        <v>42</v>
      </c>
      <c r="BC9" s="84"/>
      <c r="BD9" s="85">
        <v>0.29166666666666669</v>
      </c>
      <c r="BE9" s="83" t="s">
        <v>43</v>
      </c>
      <c r="BF9" s="84">
        <v>0.79166666666666674</v>
      </c>
      <c r="BG9" s="85">
        <v>0.29166666666666669</v>
      </c>
      <c r="BH9" s="83" t="s">
        <v>43</v>
      </c>
      <c r="BI9" s="84">
        <v>0.79166666666666674</v>
      </c>
      <c r="BJ9" s="146">
        <f t="shared" si="14"/>
        <v>36.000000000000007</v>
      </c>
      <c r="BK9" s="146">
        <f t="shared" si="15"/>
        <v>80</v>
      </c>
      <c r="BL9" s="147"/>
      <c r="BM9" s="147"/>
      <c r="BN9" s="147"/>
      <c r="BP9" s="152"/>
      <c r="BQ9" s="144" t="s">
        <v>42</v>
      </c>
      <c r="BR9" s="145"/>
      <c r="BS9" s="152">
        <v>0.29166666666666669</v>
      </c>
      <c r="BT9" s="144" t="s">
        <v>43</v>
      </c>
      <c r="BU9" s="145">
        <v>0.79166666666666674</v>
      </c>
      <c r="BV9" s="143">
        <v>0.29166666666666669</v>
      </c>
      <c r="BW9" s="144" t="s">
        <v>43</v>
      </c>
      <c r="BX9" s="145">
        <v>0.79166666666666674</v>
      </c>
      <c r="BY9" s="143"/>
      <c r="BZ9" s="144" t="s">
        <v>42</v>
      </c>
      <c r="CA9" s="145"/>
      <c r="CB9" s="149"/>
      <c r="CC9" s="150" t="s">
        <v>42</v>
      </c>
      <c r="CD9" s="151"/>
      <c r="CE9" s="143"/>
      <c r="CF9" s="144" t="s">
        <v>42</v>
      </c>
      <c r="CG9" s="145"/>
      <c r="CH9" s="143">
        <v>0.29166666666666669</v>
      </c>
      <c r="CI9" s="144" t="s">
        <v>43</v>
      </c>
      <c r="CJ9" s="145">
        <v>0.79166666666666674</v>
      </c>
      <c r="CK9" s="138">
        <v>2</v>
      </c>
      <c r="CL9" s="138">
        <v>1</v>
      </c>
    </row>
    <row r="10" spans="1:90" s="148" customFormat="1" ht="24.95" customHeight="1" x14ac:dyDescent="0.25">
      <c r="A10" s="137"/>
      <c r="B10" s="137">
        <v>3</v>
      </c>
      <c r="C10" s="137">
        <v>5</v>
      </c>
      <c r="D10" s="138"/>
      <c r="E10" s="138"/>
      <c r="F10" s="139">
        <f t="shared" si="0"/>
        <v>0.29166666666666669</v>
      </c>
      <c r="G10" s="139">
        <f t="shared" si="8"/>
        <v>0.29166666666666669</v>
      </c>
      <c r="H10" s="140">
        <f t="shared" si="9"/>
        <v>0</v>
      </c>
      <c r="I10" s="141">
        <f t="shared" si="10"/>
        <v>5</v>
      </c>
      <c r="J10" s="141">
        <f t="shared" si="11"/>
        <v>3</v>
      </c>
      <c r="K10" s="141">
        <f t="shared" si="12"/>
        <v>2</v>
      </c>
      <c r="L10" s="141" t="str">
        <f t="shared" si="1"/>
        <v>OK</v>
      </c>
      <c r="M10" s="141" t="str">
        <f t="shared" si="2"/>
        <v>OK</v>
      </c>
      <c r="N10" s="141">
        <f t="shared" si="3"/>
        <v>0</v>
      </c>
      <c r="O10" s="142" t="str">
        <f t="shared" si="4"/>
        <v>GS12</v>
      </c>
      <c r="P10" s="137">
        <f t="shared" si="5"/>
        <v>12.000000000000002</v>
      </c>
      <c r="Q10" s="137">
        <f t="shared" si="6"/>
        <v>4</v>
      </c>
      <c r="R10" s="137" t="str">
        <f t="shared" si="7"/>
        <v>GS12</v>
      </c>
      <c r="S10" s="82"/>
      <c r="T10" s="83" t="s">
        <v>42</v>
      </c>
      <c r="U10" s="84"/>
      <c r="V10" s="85">
        <v>0.29166666666666669</v>
      </c>
      <c r="W10" s="83" t="s">
        <v>43</v>
      </c>
      <c r="X10" s="84">
        <v>0.79166666666666674</v>
      </c>
      <c r="Y10" s="85"/>
      <c r="Z10" s="83" t="s">
        <v>42</v>
      </c>
      <c r="AA10" s="84"/>
      <c r="AB10" s="85"/>
      <c r="AC10" s="83" t="s">
        <v>42</v>
      </c>
      <c r="AD10" s="84"/>
      <c r="AE10" s="85">
        <v>0.29166666666666669</v>
      </c>
      <c r="AF10" s="83" t="s">
        <v>43</v>
      </c>
      <c r="AG10" s="84">
        <v>0.625</v>
      </c>
      <c r="AH10" s="85">
        <v>0.29166666666666669</v>
      </c>
      <c r="AI10" s="83" t="s">
        <v>43</v>
      </c>
      <c r="AJ10" s="84">
        <v>0.79166666666666674</v>
      </c>
      <c r="AK10" s="85">
        <v>0.29166666666666669</v>
      </c>
      <c r="AL10" s="83" t="s">
        <v>43</v>
      </c>
      <c r="AM10" s="84">
        <v>0.79166666666666674</v>
      </c>
      <c r="AN10" s="146">
        <f t="shared" si="13"/>
        <v>44</v>
      </c>
      <c r="AO10" s="82">
        <v>0.29166666666666669</v>
      </c>
      <c r="AP10" s="83" t="s">
        <v>43</v>
      </c>
      <c r="AQ10" s="84">
        <v>0.79166666666666674</v>
      </c>
      <c r="AR10" s="85">
        <v>0.29166666666666669</v>
      </c>
      <c r="AS10" s="83" t="s">
        <v>43</v>
      </c>
      <c r="AT10" s="84">
        <v>0.79166666666666674</v>
      </c>
      <c r="AU10" s="85"/>
      <c r="AV10" s="83" t="s">
        <v>42</v>
      </c>
      <c r="AW10" s="84"/>
      <c r="AX10" s="85"/>
      <c r="AY10" s="83" t="s">
        <v>42</v>
      </c>
      <c r="AZ10" s="84"/>
      <c r="BA10" s="85">
        <v>0.29166666666666669</v>
      </c>
      <c r="BB10" s="83" t="s">
        <v>43</v>
      </c>
      <c r="BC10" s="84">
        <v>0.79166666666666674</v>
      </c>
      <c r="BD10" s="85"/>
      <c r="BE10" s="83" t="s">
        <v>42</v>
      </c>
      <c r="BF10" s="84"/>
      <c r="BG10" s="85"/>
      <c r="BH10" s="83" t="s">
        <v>42</v>
      </c>
      <c r="BI10" s="84"/>
      <c r="BJ10" s="146">
        <f t="shared" si="14"/>
        <v>36.000000000000007</v>
      </c>
      <c r="BK10" s="146">
        <f t="shared" si="15"/>
        <v>80</v>
      </c>
      <c r="BL10" s="147"/>
      <c r="BM10" s="147"/>
      <c r="BN10" s="147"/>
      <c r="BP10" s="149">
        <v>0.29166666666666669</v>
      </c>
      <c r="BQ10" s="150" t="s">
        <v>43</v>
      </c>
      <c r="BR10" s="151">
        <v>0.79166666666666674</v>
      </c>
      <c r="BS10" s="149"/>
      <c r="BT10" s="150" t="s">
        <v>42</v>
      </c>
      <c r="BU10" s="151"/>
      <c r="BV10" s="149">
        <v>0.29166666666666669</v>
      </c>
      <c r="BW10" s="150" t="s">
        <v>43</v>
      </c>
      <c r="BX10" s="151">
        <v>0.79166666666666674</v>
      </c>
      <c r="BY10" s="149"/>
      <c r="BZ10" s="150" t="s">
        <v>42</v>
      </c>
      <c r="CA10" s="151"/>
      <c r="CB10" s="149"/>
      <c r="CC10" s="150" t="s">
        <v>42</v>
      </c>
      <c r="CD10" s="151"/>
      <c r="CE10" s="149">
        <v>0.29166666666666669</v>
      </c>
      <c r="CF10" s="150" t="s">
        <v>43</v>
      </c>
      <c r="CG10" s="151">
        <v>0.79166666666666674</v>
      </c>
      <c r="CH10" s="149"/>
      <c r="CI10" s="150" t="s">
        <v>42</v>
      </c>
      <c r="CJ10" s="151"/>
      <c r="CK10" s="138">
        <v>3</v>
      </c>
      <c r="CL10" s="138">
        <v>2</v>
      </c>
    </row>
    <row r="11" spans="1:90" s="148" customFormat="1" ht="24.95" customHeight="1" x14ac:dyDescent="0.25">
      <c r="A11" s="137"/>
      <c r="B11" s="137">
        <v>3</v>
      </c>
      <c r="C11" s="137">
        <v>6</v>
      </c>
      <c r="D11" s="138"/>
      <c r="E11" s="138"/>
      <c r="F11" s="139">
        <f t="shared" si="0"/>
        <v>0.29166666666666669</v>
      </c>
      <c r="G11" s="139">
        <f t="shared" si="8"/>
        <v>0.29166666666666669</v>
      </c>
      <c r="H11" s="140">
        <f t="shared" si="9"/>
        <v>0</v>
      </c>
      <c r="I11" s="141">
        <f t="shared" si="10"/>
        <v>5</v>
      </c>
      <c r="J11" s="141">
        <f t="shared" si="11"/>
        <v>5</v>
      </c>
      <c r="K11" s="141">
        <f t="shared" si="12"/>
        <v>2</v>
      </c>
      <c r="L11" s="141" t="str">
        <f t="shared" si="1"/>
        <v>OK</v>
      </c>
      <c r="M11" s="141" t="str">
        <f t="shared" si="2"/>
        <v>OK</v>
      </c>
      <c r="N11" s="141">
        <f t="shared" si="3"/>
        <v>0</v>
      </c>
      <c r="O11" s="142" t="str">
        <f t="shared" si="4"/>
        <v>GS12</v>
      </c>
      <c r="P11" s="137">
        <f t="shared" si="5"/>
        <v>12.000000000000002</v>
      </c>
      <c r="Q11" s="137">
        <f t="shared" si="6"/>
        <v>3</v>
      </c>
      <c r="R11" s="137" t="str">
        <f t="shared" si="7"/>
        <v>GS12</v>
      </c>
      <c r="S11" s="82"/>
      <c r="T11" s="83" t="s">
        <v>42</v>
      </c>
      <c r="U11" s="84"/>
      <c r="V11" s="85"/>
      <c r="W11" s="83" t="s">
        <v>42</v>
      </c>
      <c r="X11" s="84"/>
      <c r="Y11" s="85"/>
      <c r="Z11" s="83" t="s">
        <v>42</v>
      </c>
      <c r="AA11" s="84"/>
      <c r="AB11" s="85"/>
      <c r="AC11" s="83" t="s">
        <v>42</v>
      </c>
      <c r="AD11" s="84"/>
      <c r="AE11" s="85">
        <v>0.29166666666666669</v>
      </c>
      <c r="AF11" s="83" t="s">
        <v>43</v>
      </c>
      <c r="AG11" s="84">
        <v>0.79166666666666674</v>
      </c>
      <c r="AH11" s="85">
        <v>0.29166666666666669</v>
      </c>
      <c r="AI11" s="83" t="s">
        <v>43</v>
      </c>
      <c r="AJ11" s="84">
        <v>0.79166666666666674</v>
      </c>
      <c r="AK11" s="85">
        <v>0.29166666666666669</v>
      </c>
      <c r="AL11" s="83" t="s">
        <v>43</v>
      </c>
      <c r="AM11" s="84">
        <v>0.79166666666666674</v>
      </c>
      <c r="AN11" s="146">
        <f t="shared" si="13"/>
        <v>36.000000000000007</v>
      </c>
      <c r="AO11" s="82">
        <v>0.29166666666666669</v>
      </c>
      <c r="AP11" s="83" t="s">
        <v>43</v>
      </c>
      <c r="AQ11" s="84">
        <v>0.79166666666666674</v>
      </c>
      <c r="AR11" s="85">
        <v>0.29166666666666669</v>
      </c>
      <c r="AS11" s="83" t="s">
        <v>43</v>
      </c>
      <c r="AT11" s="84">
        <v>0.79166666666666674</v>
      </c>
      <c r="AU11" s="85"/>
      <c r="AV11" s="83" t="s">
        <v>42</v>
      </c>
      <c r="AW11" s="84"/>
      <c r="AX11" s="85"/>
      <c r="AY11" s="83" t="s">
        <v>42</v>
      </c>
      <c r="AZ11" s="84"/>
      <c r="BA11" s="85">
        <v>0.29166666666666669</v>
      </c>
      <c r="BB11" s="83" t="s">
        <v>43</v>
      </c>
      <c r="BC11" s="84">
        <v>0.79166666666666674</v>
      </c>
      <c r="BD11" s="85">
        <v>0.29166666666666669</v>
      </c>
      <c r="BE11" s="83" t="s">
        <v>43</v>
      </c>
      <c r="BF11" s="84">
        <v>0.625</v>
      </c>
      <c r="BG11" s="85"/>
      <c r="BH11" s="83" t="s">
        <v>42</v>
      </c>
      <c r="BI11" s="84"/>
      <c r="BJ11" s="146">
        <f t="shared" si="14"/>
        <v>44.000000000000007</v>
      </c>
      <c r="BK11" s="146">
        <f t="shared" si="15"/>
        <v>80.000000000000014</v>
      </c>
      <c r="BL11" s="147"/>
      <c r="BM11" s="147"/>
      <c r="BN11" s="147"/>
      <c r="BP11" s="152"/>
      <c r="BQ11" s="144" t="s">
        <v>42</v>
      </c>
      <c r="BR11" s="145"/>
      <c r="BS11" s="143">
        <v>0.29166666666666669</v>
      </c>
      <c r="BT11" s="144" t="s">
        <v>43</v>
      </c>
      <c r="BU11" s="145">
        <v>0.79166666666666674</v>
      </c>
      <c r="BV11" s="143"/>
      <c r="BW11" s="144" t="s">
        <v>42</v>
      </c>
      <c r="BX11" s="145"/>
      <c r="BY11" s="143"/>
      <c r="BZ11" s="144" t="s">
        <v>42</v>
      </c>
      <c r="CA11" s="145"/>
      <c r="CB11" s="143"/>
      <c r="CC11" s="144" t="s">
        <v>42</v>
      </c>
      <c r="CD11" s="145"/>
      <c r="CE11" s="143">
        <v>0.29166666666666669</v>
      </c>
      <c r="CF11" s="144" t="s">
        <v>43</v>
      </c>
      <c r="CG11" s="145">
        <v>0.79166666666666674</v>
      </c>
      <c r="CH11" s="143">
        <v>0.29166666666666669</v>
      </c>
      <c r="CI11" s="144" t="s">
        <v>43</v>
      </c>
      <c r="CJ11" s="145">
        <v>0.79166666666666674</v>
      </c>
      <c r="CK11" s="138">
        <v>3</v>
      </c>
      <c r="CL11" s="138">
        <v>1</v>
      </c>
    </row>
    <row r="12" spans="1:90" s="148" customFormat="1" ht="24.95" customHeight="1" x14ac:dyDescent="0.25">
      <c r="A12" s="137"/>
      <c r="B12" s="137">
        <v>3</v>
      </c>
      <c r="C12" s="137">
        <v>7</v>
      </c>
      <c r="D12" s="138"/>
      <c r="E12" s="138"/>
      <c r="F12" s="139">
        <f t="shared" si="0"/>
        <v>0.29166666666666669</v>
      </c>
      <c r="G12" s="139">
        <f t="shared" si="8"/>
        <v>0.29166666666666669</v>
      </c>
      <c r="H12" s="140">
        <f t="shared" si="9"/>
        <v>0</v>
      </c>
      <c r="I12" s="141">
        <f t="shared" si="10"/>
        <v>3</v>
      </c>
      <c r="J12" s="141">
        <f t="shared" si="11"/>
        <v>3</v>
      </c>
      <c r="K12" s="141">
        <f t="shared" si="12"/>
        <v>2</v>
      </c>
      <c r="L12" s="141" t="str">
        <f t="shared" si="1"/>
        <v>OK</v>
      </c>
      <c r="M12" s="141" t="str">
        <f t="shared" si="2"/>
        <v>OK</v>
      </c>
      <c r="N12" s="141">
        <f t="shared" si="3"/>
        <v>0</v>
      </c>
      <c r="O12" s="142" t="str">
        <f t="shared" si="4"/>
        <v>GS12</v>
      </c>
      <c r="P12" s="137">
        <f t="shared" si="5"/>
        <v>12.000000000000002</v>
      </c>
      <c r="Q12" s="137">
        <f t="shared" si="6"/>
        <v>3</v>
      </c>
      <c r="R12" s="137" t="str">
        <f t="shared" si="7"/>
        <v>GS12</v>
      </c>
      <c r="S12" s="82"/>
      <c r="T12" s="83" t="s">
        <v>42</v>
      </c>
      <c r="U12" s="84"/>
      <c r="V12" s="85">
        <v>0.29166666666666669</v>
      </c>
      <c r="W12" s="83" t="s">
        <v>43</v>
      </c>
      <c r="X12" s="84">
        <v>0.79166666666666674</v>
      </c>
      <c r="Y12" s="85"/>
      <c r="Z12" s="83" t="s">
        <v>42</v>
      </c>
      <c r="AA12" s="84"/>
      <c r="AB12" s="85"/>
      <c r="AC12" s="83" t="s">
        <v>42</v>
      </c>
      <c r="AD12" s="84"/>
      <c r="AE12" s="85"/>
      <c r="AF12" s="83" t="s">
        <v>42</v>
      </c>
      <c r="AG12" s="84"/>
      <c r="AH12" s="85">
        <v>0.29166666666666669</v>
      </c>
      <c r="AI12" s="83" t="s">
        <v>43</v>
      </c>
      <c r="AJ12" s="84">
        <v>0.79166666666666674</v>
      </c>
      <c r="AK12" s="85">
        <v>0.29166666666666669</v>
      </c>
      <c r="AL12" s="83" t="s">
        <v>43</v>
      </c>
      <c r="AM12" s="84">
        <v>0.79166666666666674</v>
      </c>
      <c r="AN12" s="146">
        <f t="shared" si="13"/>
        <v>36.000000000000007</v>
      </c>
      <c r="AO12" s="82">
        <v>0.29166666666666669</v>
      </c>
      <c r="AP12" s="83" t="s">
        <v>43</v>
      </c>
      <c r="AQ12" s="84">
        <v>0.79166666666666674</v>
      </c>
      <c r="AR12" s="85"/>
      <c r="AS12" s="83" t="s">
        <v>42</v>
      </c>
      <c r="AT12" s="84"/>
      <c r="AU12" s="85">
        <v>0.29166666666666669</v>
      </c>
      <c r="AV12" s="83" t="s">
        <v>43</v>
      </c>
      <c r="AW12" s="84">
        <v>0.79166666666666674</v>
      </c>
      <c r="AX12" s="85">
        <v>0.29166666666666669</v>
      </c>
      <c r="AY12" s="83" t="s">
        <v>43</v>
      </c>
      <c r="AZ12" s="84">
        <v>0.79166666666666674</v>
      </c>
      <c r="BA12" s="85"/>
      <c r="BB12" s="83" t="s">
        <v>42</v>
      </c>
      <c r="BC12" s="84"/>
      <c r="BD12" s="85">
        <v>0.29166666666666669</v>
      </c>
      <c r="BE12" s="83" t="s">
        <v>43</v>
      </c>
      <c r="BF12" s="84">
        <v>0.625</v>
      </c>
      <c r="BG12" s="85"/>
      <c r="BH12" s="83" t="s">
        <v>42</v>
      </c>
      <c r="BI12" s="84"/>
      <c r="BJ12" s="146">
        <f t="shared" si="14"/>
        <v>44.000000000000007</v>
      </c>
      <c r="BK12" s="146">
        <f t="shared" si="15"/>
        <v>80.000000000000014</v>
      </c>
      <c r="BL12" s="147"/>
      <c r="BM12" s="147"/>
      <c r="BN12" s="159"/>
      <c r="BO12" s="159"/>
      <c r="BP12" s="152">
        <v>0.29166666666666669</v>
      </c>
      <c r="BQ12" s="144" t="s">
        <v>43</v>
      </c>
      <c r="BR12" s="145">
        <v>0.79166666666666674</v>
      </c>
      <c r="BS12" s="143"/>
      <c r="BT12" s="144" t="s">
        <v>42</v>
      </c>
      <c r="BU12" s="145"/>
      <c r="BV12" s="143">
        <v>0.29166666666666669</v>
      </c>
      <c r="BW12" s="144" t="s">
        <v>43</v>
      </c>
      <c r="BX12" s="145">
        <v>0.79166666666666674</v>
      </c>
      <c r="BY12" s="143"/>
      <c r="BZ12" s="144" t="s">
        <v>42</v>
      </c>
      <c r="CA12" s="145"/>
      <c r="CB12" s="143">
        <v>0.29166666666666669</v>
      </c>
      <c r="CC12" s="144" t="s">
        <v>43</v>
      </c>
      <c r="CD12" s="145">
        <v>0.79166666666666674</v>
      </c>
      <c r="CE12" s="143"/>
      <c r="CF12" s="144" t="s">
        <v>42</v>
      </c>
      <c r="CG12" s="145"/>
      <c r="CH12" s="143"/>
      <c r="CI12" s="144" t="s">
        <v>42</v>
      </c>
      <c r="CJ12" s="145"/>
      <c r="CK12" s="138">
        <v>4</v>
      </c>
      <c r="CL12" s="138">
        <v>2</v>
      </c>
    </row>
    <row r="13" spans="1:90" s="148" customFormat="1" ht="24.95" customHeight="1" x14ac:dyDescent="0.25">
      <c r="A13" s="137"/>
      <c r="B13" s="137">
        <v>3</v>
      </c>
      <c r="C13" s="137">
        <v>8</v>
      </c>
      <c r="D13" s="138"/>
      <c r="E13" s="138"/>
      <c r="F13" s="139">
        <f t="shared" si="0"/>
        <v>0.29166666666666669</v>
      </c>
      <c r="G13" s="139">
        <f t="shared" si="8"/>
        <v>0.29166666666666669</v>
      </c>
      <c r="H13" s="140">
        <f t="shared" si="9"/>
        <v>0</v>
      </c>
      <c r="I13" s="141">
        <f t="shared" si="10"/>
        <v>7</v>
      </c>
      <c r="J13" s="141">
        <f t="shared" si="11"/>
        <v>7</v>
      </c>
      <c r="K13" s="141">
        <f t="shared" si="12"/>
        <v>2</v>
      </c>
      <c r="L13" s="141" t="str">
        <f t="shared" si="1"/>
        <v>OK</v>
      </c>
      <c r="M13" s="141" t="str">
        <f t="shared" si="2"/>
        <v>OK</v>
      </c>
      <c r="N13" s="141">
        <f t="shared" si="3"/>
        <v>0</v>
      </c>
      <c r="O13" s="142" t="str">
        <f t="shared" si="4"/>
        <v>GS12</v>
      </c>
      <c r="P13" s="137">
        <f t="shared" si="5"/>
        <v>12.000000000000002</v>
      </c>
      <c r="Q13" s="137">
        <f t="shared" si="6"/>
        <v>3</v>
      </c>
      <c r="R13" s="137" t="str">
        <f t="shared" si="7"/>
        <v>GS12</v>
      </c>
      <c r="S13" s="82"/>
      <c r="T13" s="83" t="s">
        <v>42</v>
      </c>
      <c r="U13" s="84"/>
      <c r="V13" s="85"/>
      <c r="W13" s="83" t="s">
        <v>42</v>
      </c>
      <c r="X13" s="84"/>
      <c r="Y13" s="85"/>
      <c r="Z13" s="83" t="s">
        <v>42</v>
      </c>
      <c r="AA13" s="84"/>
      <c r="AB13" s="85"/>
      <c r="AC13" s="83" t="s">
        <v>42</v>
      </c>
      <c r="AD13" s="84"/>
      <c r="AE13" s="85">
        <v>0.29166666666666669</v>
      </c>
      <c r="AF13" s="83" t="s">
        <v>43</v>
      </c>
      <c r="AG13" s="84">
        <v>0.79166666666666674</v>
      </c>
      <c r="AH13" s="85">
        <v>0.29166666666666669</v>
      </c>
      <c r="AI13" s="83" t="s">
        <v>43</v>
      </c>
      <c r="AJ13" s="84">
        <v>0.79166666666666674</v>
      </c>
      <c r="AK13" s="85">
        <v>0.29166666666666669</v>
      </c>
      <c r="AL13" s="83" t="s">
        <v>43</v>
      </c>
      <c r="AM13" s="84">
        <v>0.79166666666666674</v>
      </c>
      <c r="AN13" s="146">
        <f t="shared" si="13"/>
        <v>36.000000000000007</v>
      </c>
      <c r="AO13" s="82">
        <v>0.29166666666666669</v>
      </c>
      <c r="AP13" s="83" t="s">
        <v>43</v>
      </c>
      <c r="AQ13" s="84">
        <v>0.79166666666666674</v>
      </c>
      <c r="AR13" s="85">
        <v>0.29166666666666669</v>
      </c>
      <c r="AS13" s="83" t="s">
        <v>43</v>
      </c>
      <c r="AT13" s="84">
        <v>0.625</v>
      </c>
      <c r="AU13" s="85">
        <v>0.29166666666666669</v>
      </c>
      <c r="AV13" s="83" t="s">
        <v>43</v>
      </c>
      <c r="AW13" s="84">
        <v>0.79166666666666674</v>
      </c>
      <c r="AX13" s="85">
        <v>0.29166666666666669</v>
      </c>
      <c r="AY13" s="83" t="s">
        <v>43</v>
      </c>
      <c r="AZ13" s="84">
        <v>0.79166666666666674</v>
      </c>
      <c r="BA13" s="85"/>
      <c r="BB13" s="83" t="s">
        <v>42</v>
      </c>
      <c r="BC13" s="84"/>
      <c r="BD13" s="85"/>
      <c r="BE13" s="83" t="s">
        <v>42</v>
      </c>
      <c r="BF13" s="84"/>
      <c r="BG13" s="85"/>
      <c r="BH13" s="83" t="s">
        <v>42</v>
      </c>
      <c r="BI13" s="84"/>
      <c r="BJ13" s="146">
        <f t="shared" si="14"/>
        <v>44</v>
      </c>
      <c r="BK13" s="146">
        <f t="shared" si="15"/>
        <v>80</v>
      </c>
      <c r="BL13" s="147"/>
      <c r="BM13" s="147"/>
      <c r="BN13" s="159"/>
      <c r="BO13" s="159"/>
      <c r="BP13" s="153"/>
      <c r="BQ13" s="150" t="s">
        <v>42</v>
      </c>
      <c r="BR13" s="151"/>
      <c r="BS13" s="149"/>
      <c r="BT13" s="150" t="s">
        <v>42</v>
      </c>
      <c r="BU13" s="151"/>
      <c r="BV13" s="149"/>
      <c r="BW13" s="150" t="s">
        <v>42</v>
      </c>
      <c r="BX13" s="151"/>
      <c r="BY13" s="149">
        <v>0.29166666666666669</v>
      </c>
      <c r="BZ13" s="150" t="s">
        <v>43</v>
      </c>
      <c r="CA13" s="151">
        <v>0.79166666666666674</v>
      </c>
      <c r="CB13" s="143">
        <v>0.29166666666666669</v>
      </c>
      <c r="CC13" s="144" t="s">
        <v>43</v>
      </c>
      <c r="CD13" s="145">
        <v>0.79166666666666674</v>
      </c>
      <c r="CE13" s="149"/>
      <c r="CF13" s="150" t="s">
        <v>42</v>
      </c>
      <c r="CG13" s="151"/>
      <c r="CH13" s="149">
        <v>0.29166666666666669</v>
      </c>
      <c r="CI13" s="150" t="s">
        <v>43</v>
      </c>
      <c r="CJ13" s="151">
        <v>0.79166666666666674</v>
      </c>
      <c r="CK13" s="138">
        <v>4</v>
      </c>
      <c r="CL13" s="138">
        <v>1</v>
      </c>
    </row>
    <row r="14" spans="1:90" s="148" customFormat="1" ht="24.95" customHeight="1" x14ac:dyDescent="0.25">
      <c r="A14" s="154"/>
      <c r="B14" s="137">
        <v>3</v>
      </c>
      <c r="C14" s="137">
        <v>9</v>
      </c>
      <c r="D14" s="138"/>
      <c r="E14" s="138"/>
      <c r="F14" s="155">
        <f t="shared" si="0"/>
        <v>0.29166666666666669</v>
      </c>
      <c r="G14" s="155">
        <f t="shared" si="8"/>
        <v>0.29166666666666669</v>
      </c>
      <c r="H14" s="156">
        <f t="shared" si="9"/>
        <v>0</v>
      </c>
      <c r="I14" s="157">
        <f t="shared" si="10"/>
        <v>5</v>
      </c>
      <c r="J14" s="157">
        <f t="shared" si="11"/>
        <v>6</v>
      </c>
      <c r="K14" s="157">
        <f t="shared" si="12"/>
        <v>2</v>
      </c>
      <c r="L14" s="157" t="str">
        <f t="shared" si="1"/>
        <v>OK</v>
      </c>
      <c r="M14" s="157" t="str">
        <f t="shared" si="2"/>
        <v>OK</v>
      </c>
      <c r="N14" s="157">
        <f t="shared" si="3"/>
        <v>0</v>
      </c>
      <c r="O14" s="158" t="str">
        <f t="shared" si="4"/>
        <v>GS12</v>
      </c>
      <c r="P14" s="154">
        <f t="shared" si="5"/>
        <v>12.000000000000002</v>
      </c>
      <c r="Q14" s="154">
        <f t="shared" si="6"/>
        <v>3</v>
      </c>
      <c r="R14" s="154" t="str">
        <f t="shared" si="7"/>
        <v>GS12</v>
      </c>
      <c r="S14" s="82">
        <v>0.29166666666666669</v>
      </c>
      <c r="T14" s="83" t="s">
        <v>43</v>
      </c>
      <c r="U14" s="84">
        <v>0.79166666666666674</v>
      </c>
      <c r="V14" s="85"/>
      <c r="W14" s="83" t="s">
        <v>42</v>
      </c>
      <c r="X14" s="84"/>
      <c r="Y14" s="85">
        <v>0.29166666666666669</v>
      </c>
      <c r="Z14" s="83" t="s">
        <v>43</v>
      </c>
      <c r="AA14" s="84">
        <v>0.79166666666666674</v>
      </c>
      <c r="AB14" s="85">
        <v>0.29166666666666669</v>
      </c>
      <c r="AC14" s="83" t="s">
        <v>43</v>
      </c>
      <c r="AD14" s="84">
        <v>0.79166666666666674</v>
      </c>
      <c r="AE14" s="85"/>
      <c r="AF14" s="83" t="s">
        <v>42</v>
      </c>
      <c r="AG14" s="84"/>
      <c r="AH14" s="85"/>
      <c r="AI14" s="83" t="s">
        <v>42</v>
      </c>
      <c r="AJ14" s="84"/>
      <c r="AK14" s="85"/>
      <c r="AL14" s="83" t="s">
        <v>42</v>
      </c>
      <c r="AM14" s="84"/>
      <c r="AN14" s="146">
        <f t="shared" si="13"/>
        <v>36.000000000000007</v>
      </c>
      <c r="AO14" s="82"/>
      <c r="AP14" s="83" t="s">
        <v>42</v>
      </c>
      <c r="AQ14" s="84"/>
      <c r="AR14" s="85"/>
      <c r="AS14" s="83" t="s">
        <v>42</v>
      </c>
      <c r="AT14" s="84"/>
      <c r="AU14" s="85"/>
      <c r="AV14" s="83" t="s">
        <v>42</v>
      </c>
      <c r="AW14" s="84"/>
      <c r="AX14" s="85">
        <v>0.29166666666666669</v>
      </c>
      <c r="AY14" s="83" t="s">
        <v>43</v>
      </c>
      <c r="AZ14" s="84">
        <v>0.625</v>
      </c>
      <c r="BA14" s="85">
        <v>0.29166666666666669</v>
      </c>
      <c r="BB14" s="83" t="s">
        <v>43</v>
      </c>
      <c r="BC14" s="84">
        <v>0.79166666666666674</v>
      </c>
      <c r="BD14" s="85">
        <v>0.29166666666666669</v>
      </c>
      <c r="BE14" s="83" t="s">
        <v>43</v>
      </c>
      <c r="BF14" s="84">
        <v>0.79166666666666674</v>
      </c>
      <c r="BG14" s="85">
        <v>0.29166666666666669</v>
      </c>
      <c r="BH14" s="83" t="s">
        <v>43</v>
      </c>
      <c r="BI14" s="84">
        <v>0.79166666666666674</v>
      </c>
      <c r="BJ14" s="146">
        <f t="shared" si="14"/>
        <v>44</v>
      </c>
      <c r="BK14" s="146">
        <f t="shared" si="15"/>
        <v>80</v>
      </c>
      <c r="BL14" s="147"/>
      <c r="BM14" s="147"/>
      <c r="BN14" s="159"/>
      <c r="BO14" s="159"/>
      <c r="BP14" s="153">
        <v>0.29166666666666669</v>
      </c>
      <c r="BQ14" s="150" t="s">
        <v>43</v>
      </c>
      <c r="BR14" s="151">
        <v>0.79166666666666674</v>
      </c>
      <c r="BS14" s="149"/>
      <c r="BT14" s="150" t="s">
        <v>42</v>
      </c>
      <c r="BU14" s="151"/>
      <c r="BV14" s="149"/>
      <c r="BW14" s="150" t="s">
        <v>42</v>
      </c>
      <c r="BX14" s="151"/>
      <c r="BY14" s="149"/>
      <c r="BZ14" s="150" t="s">
        <v>42</v>
      </c>
      <c r="CA14" s="151"/>
      <c r="CB14" s="149">
        <v>0.29166666666666669</v>
      </c>
      <c r="CC14" s="150" t="s">
        <v>43</v>
      </c>
      <c r="CD14" s="151">
        <v>0.79166666666666674</v>
      </c>
      <c r="CE14" s="149">
        <v>0.29166666666666669</v>
      </c>
      <c r="CF14" s="150" t="s">
        <v>43</v>
      </c>
      <c r="CG14" s="151">
        <v>0.79166666666666674</v>
      </c>
      <c r="CH14" s="149"/>
      <c r="CI14" s="150" t="s">
        <v>42</v>
      </c>
      <c r="CJ14" s="151"/>
      <c r="CK14" s="138">
        <v>5</v>
      </c>
      <c r="CL14" s="138">
        <v>2</v>
      </c>
    </row>
    <row r="15" spans="1:90" s="148" customFormat="1" ht="24.95" customHeight="1" x14ac:dyDescent="0.25">
      <c r="A15" s="154"/>
      <c r="B15" s="137">
        <v>3</v>
      </c>
      <c r="C15" s="137">
        <v>10</v>
      </c>
      <c r="D15" s="138"/>
      <c r="E15" s="138"/>
      <c r="F15" s="155">
        <f t="shared" si="0"/>
        <v>0.29166666666666669</v>
      </c>
      <c r="G15" s="155">
        <f t="shared" si="8"/>
        <v>0.29166666666666669</v>
      </c>
      <c r="H15" s="156">
        <f t="shared" si="9"/>
        <v>0</v>
      </c>
      <c r="I15" s="157">
        <f t="shared" si="10"/>
        <v>3</v>
      </c>
      <c r="J15" s="157">
        <f t="shared" si="11"/>
        <v>3</v>
      </c>
      <c r="K15" s="157">
        <f t="shared" si="12"/>
        <v>2</v>
      </c>
      <c r="L15" s="157" t="str">
        <f t="shared" si="1"/>
        <v>OK</v>
      </c>
      <c r="M15" s="157" t="str">
        <f t="shared" si="2"/>
        <v>OK</v>
      </c>
      <c r="N15" s="157">
        <f t="shared" si="3"/>
        <v>0</v>
      </c>
      <c r="O15" s="158" t="str">
        <f t="shared" si="4"/>
        <v>GS12</v>
      </c>
      <c r="P15" s="154">
        <f t="shared" si="5"/>
        <v>12.000000000000002</v>
      </c>
      <c r="Q15" s="154">
        <f t="shared" si="6"/>
        <v>4</v>
      </c>
      <c r="R15" s="154" t="str">
        <f t="shared" si="7"/>
        <v>GS12</v>
      </c>
      <c r="S15" s="82">
        <v>0.29166666666666669</v>
      </c>
      <c r="T15" s="83" t="s">
        <v>43</v>
      </c>
      <c r="U15" s="84">
        <v>0.79166666666666674</v>
      </c>
      <c r="V15" s="85"/>
      <c r="W15" s="83" t="s">
        <v>42</v>
      </c>
      <c r="X15" s="84"/>
      <c r="Y15" s="85">
        <v>0.29166666666666669</v>
      </c>
      <c r="Z15" s="83" t="s">
        <v>43</v>
      </c>
      <c r="AA15" s="84">
        <v>0.79166666666666674</v>
      </c>
      <c r="AB15" s="85">
        <v>0.29166666666666669</v>
      </c>
      <c r="AC15" s="83" t="s">
        <v>43</v>
      </c>
      <c r="AD15" s="84">
        <v>0.79166666666666674</v>
      </c>
      <c r="AE15" s="85">
        <v>0.29166666666666669</v>
      </c>
      <c r="AF15" s="83" t="s">
        <v>43</v>
      </c>
      <c r="AG15" s="84">
        <v>0.625</v>
      </c>
      <c r="AH15" s="85"/>
      <c r="AI15" s="83" t="s">
        <v>42</v>
      </c>
      <c r="AJ15" s="84"/>
      <c r="AK15" s="85"/>
      <c r="AL15" s="83" t="s">
        <v>42</v>
      </c>
      <c r="AM15" s="84"/>
      <c r="AN15" s="146">
        <f t="shared" si="13"/>
        <v>44.000000000000007</v>
      </c>
      <c r="AO15" s="82"/>
      <c r="AP15" s="83" t="s">
        <v>42</v>
      </c>
      <c r="AQ15" s="84"/>
      <c r="AR15" s="85">
        <v>0.29166666666666669</v>
      </c>
      <c r="AS15" s="83" t="s">
        <v>43</v>
      </c>
      <c r="AT15" s="84">
        <v>0.79166666666666674</v>
      </c>
      <c r="AU15" s="85"/>
      <c r="AV15" s="83" t="s">
        <v>42</v>
      </c>
      <c r="AW15" s="84"/>
      <c r="AX15" s="85">
        <v>0.29166666666666669</v>
      </c>
      <c r="AY15" s="83" t="s">
        <v>43</v>
      </c>
      <c r="AZ15" s="84">
        <v>0.79166666666666674</v>
      </c>
      <c r="BA15" s="85"/>
      <c r="BB15" s="83" t="s">
        <v>42</v>
      </c>
      <c r="BC15" s="84"/>
      <c r="BD15" s="85"/>
      <c r="BE15" s="83" t="s">
        <v>42</v>
      </c>
      <c r="BF15" s="84"/>
      <c r="BG15" s="85">
        <v>0.29166666666666669</v>
      </c>
      <c r="BH15" s="83" t="s">
        <v>43</v>
      </c>
      <c r="BI15" s="84">
        <v>0.79166666666666674</v>
      </c>
      <c r="BJ15" s="146">
        <f t="shared" si="14"/>
        <v>36.000000000000007</v>
      </c>
      <c r="BK15" s="146">
        <f t="shared" si="15"/>
        <v>80.000000000000014</v>
      </c>
      <c r="BL15" s="147"/>
      <c r="BM15" s="147"/>
      <c r="BN15" s="159"/>
      <c r="BO15" s="159"/>
      <c r="BP15" s="153"/>
      <c r="BQ15" s="150" t="s">
        <v>42</v>
      </c>
      <c r="BR15" s="151"/>
      <c r="BS15" s="149"/>
      <c r="BT15" s="150" t="s">
        <v>42</v>
      </c>
      <c r="BU15" s="151"/>
      <c r="BV15" s="149">
        <v>0.29166666666666669</v>
      </c>
      <c r="BW15" s="150" t="s">
        <v>43</v>
      </c>
      <c r="BX15" s="151">
        <v>0.79166666666666674</v>
      </c>
      <c r="BY15" s="149"/>
      <c r="BZ15" s="150" t="s">
        <v>42</v>
      </c>
      <c r="CA15" s="151"/>
      <c r="CB15" s="149"/>
      <c r="CC15" s="150" t="s">
        <v>42</v>
      </c>
      <c r="CD15" s="151"/>
      <c r="CE15" s="149">
        <v>0.29166666666666669</v>
      </c>
      <c r="CF15" s="150" t="s">
        <v>43</v>
      </c>
      <c r="CG15" s="151">
        <v>0.79166666666666674</v>
      </c>
      <c r="CH15" s="149">
        <v>0.29166666666666669</v>
      </c>
      <c r="CI15" s="150" t="s">
        <v>43</v>
      </c>
      <c r="CJ15" s="151">
        <v>0.79166666666666674</v>
      </c>
      <c r="CK15" s="138">
        <v>5</v>
      </c>
      <c r="CL15" s="138">
        <v>1</v>
      </c>
    </row>
    <row r="16" spans="1:90" s="148" customFormat="1" ht="24.95" customHeight="1" x14ac:dyDescent="0.25">
      <c r="A16" s="137"/>
      <c r="B16" s="137">
        <v>1</v>
      </c>
      <c r="C16" s="137">
        <v>11</v>
      </c>
      <c r="D16" s="138"/>
      <c r="E16" s="138"/>
      <c r="F16" s="139">
        <f>TourMinStartTime(S16:AM16,AO16:BI16)</f>
        <v>0.375</v>
      </c>
      <c r="G16" s="139">
        <f>TourMaxStartTime(S16:AM16,AO16:BI16)</f>
        <v>0.375</v>
      </c>
      <c r="H16" s="140">
        <f t="shared" si="9"/>
        <v>0</v>
      </c>
      <c r="I16" s="141">
        <f>TourMaxWorkStretch(TRUE,S16:AM16,AO16:BI16)</f>
        <v>3</v>
      </c>
      <c r="J16" s="141">
        <f>TourMaxOffStretch(TRUE,S16:AM16,AO16:BI16)</f>
        <v>2</v>
      </c>
      <c r="K16" s="141">
        <f>TourWeekendDaysWorked(WeekendMidnightThreshold,S16:AM16,AO16:BI16)</f>
        <v>2</v>
      </c>
      <c r="L16" s="141" t="str">
        <f t="shared" si="1"/>
        <v>OK</v>
      </c>
      <c r="M16" s="141" t="str">
        <f t="shared" si="2"/>
        <v>OK</v>
      </c>
      <c r="N16" s="141">
        <f t="shared" si="3"/>
        <v>-4.0000000000000071</v>
      </c>
      <c r="O16" s="142" t="str">
        <f t="shared" si="4"/>
        <v>PT4</v>
      </c>
      <c r="P16" s="137">
        <f t="shared" si="5"/>
        <v>3.9999999999999991</v>
      </c>
      <c r="Q16" s="137">
        <f t="shared" si="6"/>
        <v>5</v>
      </c>
      <c r="R16" s="137" t="str">
        <f t="shared" si="7"/>
        <v>PT4</v>
      </c>
      <c r="S16" s="82"/>
      <c r="T16" s="83" t="s">
        <v>42</v>
      </c>
      <c r="U16" s="84"/>
      <c r="V16" s="85">
        <v>0.375</v>
      </c>
      <c r="W16" s="83" t="s">
        <v>43</v>
      </c>
      <c r="X16" s="84">
        <v>0.54166666666666663</v>
      </c>
      <c r="Y16" s="85">
        <v>0.375</v>
      </c>
      <c r="Z16" s="83" t="s">
        <v>43</v>
      </c>
      <c r="AA16" s="84">
        <v>0.54166666666666663</v>
      </c>
      <c r="AB16" s="85">
        <v>0.375</v>
      </c>
      <c r="AC16" s="83" t="s">
        <v>43</v>
      </c>
      <c r="AD16" s="84">
        <v>0.54166666666666663</v>
      </c>
      <c r="AE16" s="85"/>
      <c r="AF16" s="83" t="s">
        <v>42</v>
      </c>
      <c r="AG16" s="84"/>
      <c r="AH16" s="85">
        <v>0.375</v>
      </c>
      <c r="AI16" s="83" t="s">
        <v>43</v>
      </c>
      <c r="AJ16" s="84">
        <v>0.54166666666666663</v>
      </c>
      <c r="AK16" s="85">
        <v>0.375</v>
      </c>
      <c r="AL16" s="83" t="s">
        <v>43</v>
      </c>
      <c r="AM16" s="84">
        <v>0.54166666666666663</v>
      </c>
      <c r="AN16" s="146">
        <f t="shared" si="13"/>
        <v>19.999999999999996</v>
      </c>
      <c r="AO16" s="82">
        <v>0.375</v>
      </c>
      <c r="AP16" s="83" t="s">
        <v>43</v>
      </c>
      <c r="AQ16" s="84">
        <v>0.54166666666666663</v>
      </c>
      <c r="AR16" s="85"/>
      <c r="AS16" s="83" t="s">
        <v>42</v>
      </c>
      <c r="AT16" s="84"/>
      <c r="AU16" s="85">
        <v>0.375</v>
      </c>
      <c r="AV16" s="83" t="s">
        <v>43</v>
      </c>
      <c r="AW16" s="84">
        <v>0.54166666666666663</v>
      </c>
      <c r="AX16" s="85"/>
      <c r="AY16" s="83" t="s">
        <v>42</v>
      </c>
      <c r="AZ16" s="84"/>
      <c r="BA16" s="85">
        <v>0.375</v>
      </c>
      <c r="BB16" s="83" t="s">
        <v>43</v>
      </c>
      <c r="BC16" s="84">
        <v>0.54166666666666663</v>
      </c>
      <c r="BD16" s="85">
        <v>0.375</v>
      </c>
      <c r="BE16" s="83" t="s">
        <v>43</v>
      </c>
      <c r="BF16" s="84">
        <v>0.54166666666666663</v>
      </c>
      <c r="BG16" s="85"/>
      <c r="BH16" s="83" t="s">
        <v>42</v>
      </c>
      <c r="BI16" s="84"/>
      <c r="BJ16" s="146">
        <f>TourHours(AO16:BI16,0)</f>
        <v>15.999999999999996</v>
      </c>
      <c r="BK16" s="146">
        <f t="shared" si="15"/>
        <v>35.999999999999993</v>
      </c>
      <c r="BL16" s="147"/>
      <c r="BM16" s="147"/>
      <c r="BP16" s="153">
        <v>0.29166666666666669</v>
      </c>
      <c r="BQ16" s="150" t="s">
        <v>43</v>
      </c>
      <c r="BR16" s="151">
        <v>0.79166666666666674</v>
      </c>
      <c r="BS16" s="149"/>
      <c r="BT16" s="150" t="s">
        <v>42</v>
      </c>
      <c r="BU16" s="151"/>
      <c r="BV16" s="149"/>
      <c r="BW16" s="150" t="s">
        <v>42</v>
      </c>
      <c r="BX16" s="151"/>
      <c r="BY16" s="149">
        <v>0.29166666666666669</v>
      </c>
      <c r="BZ16" s="150" t="s">
        <v>43</v>
      </c>
      <c r="CA16" s="151">
        <v>0.79166666666666674</v>
      </c>
      <c r="CB16" s="149">
        <v>0.29166666666666669</v>
      </c>
      <c r="CC16" s="150" t="s">
        <v>43</v>
      </c>
      <c r="CD16" s="151">
        <v>0.79166666666666674</v>
      </c>
      <c r="CE16" s="149"/>
      <c r="CF16" s="150" t="s">
        <v>42</v>
      </c>
      <c r="CG16" s="151"/>
      <c r="CH16" s="149"/>
      <c r="CI16" s="150" t="s">
        <v>42</v>
      </c>
      <c r="CJ16" s="151"/>
      <c r="CK16" s="138">
        <v>6</v>
      </c>
      <c r="CL16" s="138">
        <v>2</v>
      </c>
    </row>
    <row r="17" spans="1:90" s="148" customFormat="1" ht="24.95" customHeight="1" x14ac:dyDescent="0.25">
      <c r="A17" s="137"/>
      <c r="B17" s="137">
        <v>1</v>
      </c>
      <c r="C17" s="137">
        <v>12</v>
      </c>
      <c r="D17" s="138"/>
      <c r="E17" s="138"/>
      <c r="F17" s="139">
        <f>TourMinStartTime(S17:AM17,AO17:BI17)</f>
        <v>0.625</v>
      </c>
      <c r="G17" s="139">
        <f>TourMaxStartTime(S17:AM17,AO17:BI17)</f>
        <v>0.625</v>
      </c>
      <c r="H17" s="140">
        <f t="shared" si="9"/>
        <v>0</v>
      </c>
      <c r="I17" s="141">
        <f>TourMaxWorkStretch(TRUE,S17:AM17,AO17:BI17)</f>
        <v>2</v>
      </c>
      <c r="J17" s="141">
        <f>TourMaxOffStretch(TRUE,S17:AM17,AO17:BI17)</f>
        <v>7</v>
      </c>
      <c r="K17" s="141">
        <f>TourWeekendDaysWorked(WeekendMidnightThreshold,S17:AM17,AO17:BI17)</f>
        <v>1</v>
      </c>
      <c r="L17" s="141" t="str">
        <f t="shared" si="1"/>
        <v>OK</v>
      </c>
      <c r="M17" s="141" t="str">
        <f t="shared" si="2"/>
        <v>OK</v>
      </c>
      <c r="N17" s="141">
        <f t="shared" si="3"/>
        <v>-24.000000000000004</v>
      </c>
      <c r="O17" s="142" t="str">
        <f t="shared" si="4"/>
        <v>PT4</v>
      </c>
      <c r="P17" s="137">
        <f>TourMaxShiftLength(S17:AM17)</f>
        <v>3.9999999999999991</v>
      </c>
      <c r="Q17" s="137">
        <f>TourNumDaysWorked(S17:AM17)</f>
        <v>2</v>
      </c>
      <c r="R17" s="137" t="str">
        <f t="shared" si="7"/>
        <v>PT4</v>
      </c>
      <c r="S17" s="82"/>
      <c r="T17" s="83" t="s">
        <v>42</v>
      </c>
      <c r="U17" s="84"/>
      <c r="V17" s="85"/>
      <c r="W17" s="83" t="s">
        <v>42</v>
      </c>
      <c r="X17" s="84"/>
      <c r="Y17" s="85">
        <v>0.625</v>
      </c>
      <c r="Z17" s="83" t="s">
        <v>43</v>
      </c>
      <c r="AA17" s="84">
        <v>0.79166666666666663</v>
      </c>
      <c r="AB17" s="85"/>
      <c r="AC17" s="83" t="s">
        <v>42</v>
      </c>
      <c r="AD17" s="84"/>
      <c r="AE17" s="85">
        <v>0.625</v>
      </c>
      <c r="AF17" s="83" t="s">
        <v>43</v>
      </c>
      <c r="AG17" s="84">
        <v>0.79166666666666663</v>
      </c>
      <c r="AH17" s="85"/>
      <c r="AI17" s="83" t="s">
        <v>42</v>
      </c>
      <c r="AJ17" s="84"/>
      <c r="AK17" s="85"/>
      <c r="AL17" s="83" t="s">
        <v>42</v>
      </c>
      <c r="AM17" s="84"/>
      <c r="AN17" s="146">
        <f>TourHours(S17:AM17,0)</f>
        <v>7.9999999999999982</v>
      </c>
      <c r="AO17" s="82"/>
      <c r="AP17" s="83" t="s">
        <v>42</v>
      </c>
      <c r="AQ17" s="84"/>
      <c r="AR17" s="85"/>
      <c r="AS17" s="83" t="s">
        <v>42</v>
      </c>
      <c r="AT17" s="84"/>
      <c r="AU17" s="85"/>
      <c r="AV17" s="83" t="s">
        <v>42</v>
      </c>
      <c r="AW17" s="84"/>
      <c r="AX17" s="85"/>
      <c r="AY17" s="83" t="s">
        <v>42</v>
      </c>
      <c r="AZ17" s="84"/>
      <c r="BA17" s="85"/>
      <c r="BB17" s="83" t="s">
        <v>42</v>
      </c>
      <c r="BC17" s="84"/>
      <c r="BD17" s="85">
        <v>0.625</v>
      </c>
      <c r="BE17" s="83" t="s">
        <v>43</v>
      </c>
      <c r="BF17" s="84">
        <v>0.79166666666666663</v>
      </c>
      <c r="BG17" s="85">
        <v>0.625</v>
      </c>
      <c r="BH17" s="83" t="s">
        <v>43</v>
      </c>
      <c r="BI17" s="84">
        <v>0.79166666666666663</v>
      </c>
      <c r="BJ17" s="146">
        <f t="shared" si="14"/>
        <v>7.9999999999999982</v>
      </c>
      <c r="BK17" s="146">
        <f t="shared" si="15"/>
        <v>15.999999999999996</v>
      </c>
      <c r="BL17" s="147"/>
      <c r="BM17" s="147"/>
      <c r="BP17" s="152"/>
      <c r="BQ17" s="144" t="s">
        <v>42</v>
      </c>
      <c r="BR17" s="145"/>
      <c r="BS17" s="143">
        <v>0.29166666666666669</v>
      </c>
      <c r="BT17" s="144" t="s">
        <v>43</v>
      </c>
      <c r="BU17" s="145">
        <v>0.79166666666666674</v>
      </c>
      <c r="BV17" s="143"/>
      <c r="BW17" s="144" t="s">
        <v>42</v>
      </c>
      <c r="BX17" s="145"/>
      <c r="BY17" s="143"/>
      <c r="BZ17" s="144" t="s">
        <v>42</v>
      </c>
      <c r="CA17" s="145"/>
      <c r="CB17" s="143"/>
      <c r="CC17" s="144" t="s">
        <v>42</v>
      </c>
      <c r="CD17" s="145"/>
      <c r="CE17" s="143">
        <v>0.29166666666666669</v>
      </c>
      <c r="CF17" s="144" t="s">
        <v>43</v>
      </c>
      <c r="CG17" s="145">
        <v>0.79166666666666674</v>
      </c>
      <c r="CH17" s="152">
        <v>0.29166666666666669</v>
      </c>
      <c r="CI17" s="144" t="s">
        <v>43</v>
      </c>
      <c r="CJ17" s="145">
        <v>0.79166666666666674</v>
      </c>
      <c r="CK17" s="138">
        <v>6</v>
      </c>
      <c r="CL17" s="138">
        <v>1</v>
      </c>
    </row>
    <row r="18" spans="1:90" s="148" customFormat="1" ht="24.95" customHeight="1" x14ac:dyDescent="0.25">
      <c r="A18" s="137"/>
      <c r="B18" s="137">
        <v>1</v>
      </c>
      <c r="C18" s="137">
        <v>13</v>
      </c>
      <c r="D18" s="138"/>
      <c r="E18" s="138"/>
      <c r="F18" s="155">
        <f t="shared" si="0"/>
        <v>0.625</v>
      </c>
      <c r="G18" s="155">
        <f t="shared" si="8"/>
        <v>0.625</v>
      </c>
      <c r="H18" s="156">
        <f t="shared" si="9"/>
        <v>0</v>
      </c>
      <c r="I18" s="157">
        <f t="shared" si="10"/>
        <v>4</v>
      </c>
      <c r="J18" s="157">
        <f t="shared" si="11"/>
        <v>2</v>
      </c>
      <c r="K18" s="157">
        <f t="shared" si="12"/>
        <v>1</v>
      </c>
      <c r="L18" s="157" t="str">
        <f t="shared" si="1"/>
        <v>OK</v>
      </c>
      <c r="M18" s="157" t="str">
        <f t="shared" si="2"/>
        <v>OK</v>
      </c>
      <c r="N18" s="157">
        <f t="shared" si="3"/>
        <v>-12.000000000000007</v>
      </c>
      <c r="O18" s="158" t="str">
        <f t="shared" si="4"/>
        <v>PT4</v>
      </c>
      <c r="P18" s="154">
        <f t="shared" si="5"/>
        <v>3.9999999999999991</v>
      </c>
      <c r="Q18" s="154">
        <f t="shared" si="6"/>
        <v>3</v>
      </c>
      <c r="R18" s="154" t="str">
        <f>VLOOKUP(B18,Tour_Type_Labels,2)</f>
        <v>PT4</v>
      </c>
      <c r="S18" s="82"/>
      <c r="T18" s="83" t="s">
        <v>42</v>
      </c>
      <c r="U18" s="84"/>
      <c r="V18" s="85">
        <v>0.625</v>
      </c>
      <c r="W18" s="83" t="s">
        <v>43</v>
      </c>
      <c r="X18" s="84">
        <v>0.79166666666666663</v>
      </c>
      <c r="Y18" s="85"/>
      <c r="Z18" s="83" t="s">
        <v>42</v>
      </c>
      <c r="AA18" s="84"/>
      <c r="AB18" s="85"/>
      <c r="AC18" s="83" t="s">
        <v>42</v>
      </c>
      <c r="AD18" s="84"/>
      <c r="AE18" s="85">
        <v>0.625</v>
      </c>
      <c r="AF18" s="83" t="s">
        <v>43</v>
      </c>
      <c r="AG18" s="84">
        <v>0.79166666666666663</v>
      </c>
      <c r="AH18" s="85"/>
      <c r="AI18" s="83" t="s">
        <v>42</v>
      </c>
      <c r="AJ18" s="84"/>
      <c r="AK18" s="85">
        <v>0.625</v>
      </c>
      <c r="AL18" s="83" t="s">
        <v>43</v>
      </c>
      <c r="AM18" s="84">
        <v>0.79166666666666663</v>
      </c>
      <c r="AN18" s="146">
        <f t="shared" si="13"/>
        <v>11.999999999999996</v>
      </c>
      <c r="AO18" s="82"/>
      <c r="AP18" s="83" t="s">
        <v>42</v>
      </c>
      <c r="AQ18" s="84"/>
      <c r="AR18" s="85"/>
      <c r="AS18" s="83" t="s">
        <v>42</v>
      </c>
      <c r="AT18" s="84"/>
      <c r="AU18" s="85">
        <v>0.625</v>
      </c>
      <c r="AV18" s="83" t="s">
        <v>43</v>
      </c>
      <c r="AW18" s="84">
        <v>0.79166666666666663</v>
      </c>
      <c r="AX18" s="85">
        <v>0.625</v>
      </c>
      <c r="AY18" s="83" t="s">
        <v>43</v>
      </c>
      <c r="AZ18" s="84">
        <v>0.79166666666666663</v>
      </c>
      <c r="BA18" s="85">
        <v>0.625</v>
      </c>
      <c r="BB18" s="83" t="s">
        <v>43</v>
      </c>
      <c r="BC18" s="84">
        <v>0.79166666666666663</v>
      </c>
      <c r="BD18" s="85">
        <v>0.625</v>
      </c>
      <c r="BE18" s="83" t="s">
        <v>43</v>
      </c>
      <c r="BF18" s="84">
        <v>0.79166666666666663</v>
      </c>
      <c r="BG18" s="85"/>
      <c r="BH18" s="83" t="s">
        <v>42</v>
      </c>
      <c r="BI18" s="84"/>
      <c r="BJ18" s="146">
        <f t="shared" si="14"/>
        <v>15.999999999999996</v>
      </c>
      <c r="BK18" s="146">
        <f t="shared" si="15"/>
        <v>27.999999999999993</v>
      </c>
      <c r="BL18" s="147"/>
      <c r="BM18" s="147"/>
      <c r="BN18" s="147"/>
      <c r="BP18" s="153">
        <v>0.29166666666666669</v>
      </c>
      <c r="BQ18" s="150" t="s">
        <v>43</v>
      </c>
      <c r="BR18" s="151">
        <v>0.79166666666666674</v>
      </c>
      <c r="BS18" s="149"/>
      <c r="BT18" s="150" t="s">
        <v>42</v>
      </c>
      <c r="BU18" s="151"/>
      <c r="BV18" s="149"/>
      <c r="BW18" s="150" t="s">
        <v>42</v>
      </c>
      <c r="BX18" s="151"/>
      <c r="BY18" s="149">
        <v>0.29166666666666669</v>
      </c>
      <c r="BZ18" s="150" t="s">
        <v>43</v>
      </c>
      <c r="CA18" s="151">
        <v>0.79166666666666674</v>
      </c>
      <c r="CB18" s="149">
        <v>0.29166666666666669</v>
      </c>
      <c r="CC18" s="150" t="s">
        <v>43</v>
      </c>
      <c r="CD18" s="151">
        <v>0.79166666666666674</v>
      </c>
      <c r="CE18" s="149"/>
      <c r="CF18" s="150" t="s">
        <v>42</v>
      </c>
      <c r="CG18" s="151"/>
      <c r="CH18" s="149"/>
      <c r="CI18" s="150" t="s">
        <v>42</v>
      </c>
      <c r="CJ18" s="151"/>
      <c r="CK18" s="138">
        <v>7</v>
      </c>
      <c r="CL18" s="138">
        <v>2</v>
      </c>
    </row>
    <row r="19" spans="1:90" s="148" customFormat="1" ht="24.95" customHeight="1" x14ac:dyDescent="0.25">
      <c r="A19" s="137"/>
      <c r="B19" s="137">
        <v>3</v>
      </c>
      <c r="C19" s="137">
        <v>14</v>
      </c>
      <c r="D19" s="138"/>
      <c r="E19" s="138"/>
      <c r="F19" s="155">
        <f t="shared" si="0"/>
        <v>0.79166666666666663</v>
      </c>
      <c r="G19" s="155">
        <f t="shared" si="8"/>
        <v>0.79166666666666663</v>
      </c>
      <c r="H19" s="156">
        <f t="shared" si="9"/>
        <v>0</v>
      </c>
      <c r="I19" s="157">
        <f t="shared" si="10"/>
        <v>5</v>
      </c>
      <c r="J19" s="157">
        <f t="shared" si="11"/>
        <v>4</v>
      </c>
      <c r="K19" s="157">
        <f t="shared" si="12"/>
        <v>2</v>
      </c>
      <c r="L19" s="157" t="str">
        <f t="shared" si="1"/>
        <v>OK</v>
      </c>
      <c r="M19" s="157" t="str">
        <f t="shared" si="2"/>
        <v>OK</v>
      </c>
      <c r="N19" s="157">
        <f t="shared" si="3"/>
        <v>0</v>
      </c>
      <c r="O19" s="158" t="str">
        <f t="shared" si="4"/>
        <v>GS12</v>
      </c>
      <c r="P19" s="154">
        <f t="shared" si="5"/>
        <v>12.000000000000002</v>
      </c>
      <c r="Q19" s="154">
        <f t="shared" si="6"/>
        <v>4</v>
      </c>
      <c r="R19" s="154" t="str">
        <f t="shared" si="7"/>
        <v>GS12</v>
      </c>
      <c r="S19" s="82">
        <v>0.79166666666666663</v>
      </c>
      <c r="T19" s="83" t="s">
        <v>43</v>
      </c>
      <c r="U19" s="84">
        <v>0.29166666666666669</v>
      </c>
      <c r="V19" s="85">
        <v>0.79166666666666663</v>
      </c>
      <c r="W19" s="83" t="s">
        <v>43</v>
      </c>
      <c r="X19" s="84">
        <v>0.125</v>
      </c>
      <c r="Y19" s="85">
        <v>0.79166666666666663</v>
      </c>
      <c r="Z19" s="83" t="s">
        <v>43</v>
      </c>
      <c r="AA19" s="84">
        <v>0.29166666666666669</v>
      </c>
      <c r="AB19" s="85"/>
      <c r="AC19" s="83" t="s">
        <v>42</v>
      </c>
      <c r="AD19" s="84"/>
      <c r="AE19" s="85">
        <v>0.79166666666666663</v>
      </c>
      <c r="AF19" s="83" t="s">
        <v>43</v>
      </c>
      <c r="AG19" s="84">
        <v>0.29166666666666669</v>
      </c>
      <c r="AH19" s="85"/>
      <c r="AI19" s="83" t="s">
        <v>42</v>
      </c>
      <c r="AJ19" s="84"/>
      <c r="AK19" s="85"/>
      <c r="AL19" s="83" t="s">
        <v>42</v>
      </c>
      <c r="AM19" s="84"/>
      <c r="AN19" s="146">
        <f t="shared" si="13"/>
        <v>44</v>
      </c>
      <c r="AO19" s="82">
        <v>0.79166666666666663</v>
      </c>
      <c r="AP19" s="83" t="s">
        <v>43</v>
      </c>
      <c r="AQ19" s="84">
        <v>0.29166666666666669</v>
      </c>
      <c r="AR19" s="85"/>
      <c r="AS19" s="83" t="s">
        <v>42</v>
      </c>
      <c r="AT19" s="84"/>
      <c r="AU19" s="85"/>
      <c r="AV19" s="83" t="s">
        <v>42</v>
      </c>
      <c r="AW19" s="84"/>
      <c r="AX19" s="85"/>
      <c r="AY19" s="83" t="s">
        <v>42</v>
      </c>
      <c r="AZ19" s="84"/>
      <c r="BA19" s="85"/>
      <c r="BB19" s="83" t="s">
        <v>42</v>
      </c>
      <c r="BC19" s="84"/>
      <c r="BD19" s="85">
        <v>0.79166666666666663</v>
      </c>
      <c r="BE19" s="83" t="s">
        <v>43</v>
      </c>
      <c r="BF19" s="84">
        <v>0.29166666666666669</v>
      </c>
      <c r="BG19" s="85">
        <v>0.79166666666666663</v>
      </c>
      <c r="BH19" s="83" t="s">
        <v>43</v>
      </c>
      <c r="BI19" s="84">
        <v>0.29166666666666669</v>
      </c>
      <c r="BJ19" s="146">
        <f t="shared" si="14"/>
        <v>36.000000000000007</v>
      </c>
      <c r="BK19" s="146">
        <f t="shared" si="15"/>
        <v>80</v>
      </c>
      <c r="BL19" s="147"/>
      <c r="BM19" s="147"/>
      <c r="BN19" s="147"/>
      <c r="BP19" s="143"/>
      <c r="BQ19" s="144" t="s">
        <v>42</v>
      </c>
      <c r="BR19" s="145"/>
      <c r="BS19" s="143">
        <v>0.29166666666666669</v>
      </c>
      <c r="BT19" s="144" t="s">
        <v>43</v>
      </c>
      <c r="BU19" s="145">
        <v>0.79166666666666674</v>
      </c>
      <c r="BV19" s="143"/>
      <c r="BW19" s="144" t="s">
        <v>42</v>
      </c>
      <c r="BX19" s="145"/>
      <c r="BY19" s="143"/>
      <c r="BZ19" s="144" t="s">
        <v>42</v>
      </c>
      <c r="CA19" s="145"/>
      <c r="CB19" s="143"/>
      <c r="CC19" s="144" t="s">
        <v>42</v>
      </c>
      <c r="CD19" s="145"/>
      <c r="CE19" s="143">
        <v>0.29166666666666669</v>
      </c>
      <c r="CF19" s="144" t="s">
        <v>43</v>
      </c>
      <c r="CG19" s="145">
        <v>0.79166666666666674</v>
      </c>
      <c r="CH19" s="143">
        <v>0.29166666666666669</v>
      </c>
      <c r="CI19" s="144" t="s">
        <v>43</v>
      </c>
      <c r="CJ19" s="145">
        <v>0.79166666666666674</v>
      </c>
      <c r="CK19" s="138">
        <v>7</v>
      </c>
      <c r="CL19" s="138">
        <v>1</v>
      </c>
    </row>
    <row r="20" spans="1:90" s="148" customFormat="1" ht="24.95" customHeight="1" x14ac:dyDescent="0.25">
      <c r="A20" s="137"/>
      <c r="B20" s="137">
        <v>3</v>
      </c>
      <c r="C20" s="137">
        <v>15</v>
      </c>
      <c r="D20" s="138"/>
      <c r="E20" s="138"/>
      <c r="F20" s="139">
        <f t="shared" si="0"/>
        <v>0.79166666666666663</v>
      </c>
      <c r="G20" s="139">
        <f t="shared" si="8"/>
        <v>0.79166666666666663</v>
      </c>
      <c r="H20" s="140">
        <f t="shared" si="9"/>
        <v>0</v>
      </c>
      <c r="I20" s="141">
        <f t="shared" si="10"/>
        <v>3</v>
      </c>
      <c r="J20" s="141">
        <f t="shared" si="11"/>
        <v>3</v>
      </c>
      <c r="K20" s="141">
        <f t="shared" si="12"/>
        <v>2</v>
      </c>
      <c r="L20" s="141" t="str">
        <f t="shared" si="1"/>
        <v>OK</v>
      </c>
      <c r="M20" s="141" t="str">
        <f t="shared" si="2"/>
        <v>OK</v>
      </c>
      <c r="N20" s="141">
        <f t="shared" si="3"/>
        <v>0</v>
      </c>
      <c r="O20" s="142" t="str">
        <f t="shared" si="4"/>
        <v>GS12</v>
      </c>
      <c r="P20" s="137">
        <f t="shared" si="5"/>
        <v>12.000000000000002</v>
      </c>
      <c r="Q20" s="137">
        <f t="shared" si="6"/>
        <v>4</v>
      </c>
      <c r="R20" s="137" t="str">
        <f t="shared" si="7"/>
        <v>GS12</v>
      </c>
      <c r="S20" s="82">
        <v>0.79166666666666663</v>
      </c>
      <c r="T20" s="83" t="s">
        <v>43</v>
      </c>
      <c r="U20" s="84">
        <v>0.125</v>
      </c>
      <c r="V20" s="85">
        <v>0.79166666666666663</v>
      </c>
      <c r="W20" s="83" t="s">
        <v>43</v>
      </c>
      <c r="X20" s="84">
        <v>0.29166666666666669</v>
      </c>
      <c r="Y20" s="85"/>
      <c r="Z20" s="83" t="s">
        <v>42</v>
      </c>
      <c r="AA20" s="84"/>
      <c r="AB20" s="85"/>
      <c r="AC20" s="83" t="s">
        <v>42</v>
      </c>
      <c r="AD20" s="84"/>
      <c r="AE20" s="85"/>
      <c r="AF20" s="83" t="s">
        <v>42</v>
      </c>
      <c r="AG20" s="84"/>
      <c r="AH20" s="85">
        <v>0.79166666666666663</v>
      </c>
      <c r="AI20" s="83" t="s">
        <v>43</v>
      </c>
      <c r="AJ20" s="84">
        <v>0.29166666666666669</v>
      </c>
      <c r="AK20" s="85">
        <v>0.79166666666666663</v>
      </c>
      <c r="AL20" s="83" t="s">
        <v>43</v>
      </c>
      <c r="AM20" s="84">
        <v>0.29166666666666669</v>
      </c>
      <c r="AN20" s="146">
        <f t="shared" si="13"/>
        <v>44</v>
      </c>
      <c r="AO20" s="82">
        <v>0.79166666666666663</v>
      </c>
      <c r="AP20" s="83" t="s">
        <v>43</v>
      </c>
      <c r="AQ20" s="84">
        <v>0.29166666666666669</v>
      </c>
      <c r="AR20" s="85"/>
      <c r="AS20" s="83" t="s">
        <v>42</v>
      </c>
      <c r="AT20" s="84"/>
      <c r="AU20" s="85">
        <v>0.79166666666666663</v>
      </c>
      <c r="AV20" s="83" t="s">
        <v>43</v>
      </c>
      <c r="AW20" s="84">
        <v>0.29166666666666669</v>
      </c>
      <c r="AX20" s="85"/>
      <c r="AY20" s="83" t="s">
        <v>42</v>
      </c>
      <c r="AZ20" s="84"/>
      <c r="BA20" s="85">
        <v>0.79166666666666663</v>
      </c>
      <c r="BB20" s="83" t="s">
        <v>43</v>
      </c>
      <c r="BC20" s="84">
        <v>0.29166666666666669</v>
      </c>
      <c r="BD20" s="85"/>
      <c r="BE20" s="83" t="s">
        <v>42</v>
      </c>
      <c r="BF20" s="84"/>
      <c r="BG20" s="85"/>
      <c r="BH20" s="83" t="s">
        <v>42</v>
      </c>
      <c r="BI20" s="84"/>
      <c r="BJ20" s="146">
        <f t="shared" si="14"/>
        <v>36.000000000000007</v>
      </c>
      <c r="BK20" s="146">
        <f t="shared" si="15"/>
        <v>80</v>
      </c>
      <c r="BL20" s="147"/>
      <c r="BM20" s="147"/>
      <c r="BN20" s="147"/>
      <c r="BP20" s="153">
        <v>0.29166666666666669</v>
      </c>
      <c r="BQ20" s="150" t="s">
        <v>43</v>
      </c>
      <c r="BR20" s="151">
        <v>0.79166666666666674</v>
      </c>
      <c r="BS20" s="149"/>
      <c r="BT20" s="150" t="s">
        <v>42</v>
      </c>
      <c r="BU20" s="151"/>
      <c r="BV20" s="149">
        <v>0.29166666666666669</v>
      </c>
      <c r="BW20" s="150" t="s">
        <v>43</v>
      </c>
      <c r="BX20" s="151">
        <v>0.79166666666666674</v>
      </c>
      <c r="BY20" s="153">
        <v>0.29166666666666669</v>
      </c>
      <c r="BZ20" s="150" t="s">
        <v>43</v>
      </c>
      <c r="CA20" s="151">
        <v>0.79166666666666674</v>
      </c>
      <c r="CB20" s="149"/>
      <c r="CC20" s="150" t="s">
        <v>42</v>
      </c>
      <c r="CD20" s="151"/>
      <c r="CE20" s="153"/>
      <c r="CF20" s="150" t="s">
        <v>42</v>
      </c>
      <c r="CG20" s="151"/>
      <c r="CH20" s="153"/>
      <c r="CI20" s="150" t="s">
        <v>42</v>
      </c>
      <c r="CJ20" s="151"/>
      <c r="CK20" s="138">
        <v>8</v>
      </c>
      <c r="CL20" s="138">
        <v>2</v>
      </c>
    </row>
    <row r="21" spans="1:90" s="148" customFormat="1" ht="24.95" customHeight="1" x14ac:dyDescent="0.25">
      <c r="A21" s="137"/>
      <c r="B21" s="137">
        <v>3</v>
      </c>
      <c r="C21" s="137">
        <v>16</v>
      </c>
      <c r="D21" s="138"/>
      <c r="E21" s="138"/>
      <c r="F21" s="139">
        <f t="shared" si="0"/>
        <v>0.79166666666666663</v>
      </c>
      <c r="G21" s="139">
        <f t="shared" si="8"/>
        <v>0.79166666666666663</v>
      </c>
      <c r="H21" s="140">
        <f t="shared" si="9"/>
        <v>0</v>
      </c>
      <c r="I21" s="141">
        <f t="shared" si="10"/>
        <v>3</v>
      </c>
      <c r="J21" s="141">
        <f t="shared" si="11"/>
        <v>3</v>
      </c>
      <c r="K21" s="141">
        <f t="shared" si="12"/>
        <v>2</v>
      </c>
      <c r="L21" s="141" t="str">
        <f t="shared" si="1"/>
        <v>OK</v>
      </c>
      <c r="M21" s="141" t="str">
        <f t="shared" si="2"/>
        <v>OK</v>
      </c>
      <c r="N21" s="141">
        <f t="shared" si="3"/>
        <v>0</v>
      </c>
      <c r="O21" s="142" t="str">
        <f t="shared" si="4"/>
        <v>GS12</v>
      </c>
      <c r="P21" s="137">
        <f t="shared" si="5"/>
        <v>12.000000000000002</v>
      </c>
      <c r="Q21" s="137">
        <f t="shared" si="6"/>
        <v>4</v>
      </c>
      <c r="R21" s="137" t="str">
        <f t="shared" si="7"/>
        <v>GS12</v>
      </c>
      <c r="S21" s="82">
        <v>0.79166666666666663</v>
      </c>
      <c r="T21" s="83" t="s">
        <v>43</v>
      </c>
      <c r="U21" s="84">
        <v>0.29166666666666669</v>
      </c>
      <c r="V21" s="85">
        <v>0.79166666666666663</v>
      </c>
      <c r="W21" s="83" t="s">
        <v>43</v>
      </c>
      <c r="X21" s="84">
        <v>0.29166666666666669</v>
      </c>
      <c r="Y21" s="85"/>
      <c r="Z21" s="83" t="s">
        <v>42</v>
      </c>
      <c r="AA21" s="84"/>
      <c r="AB21" s="85"/>
      <c r="AC21" s="83" t="s">
        <v>42</v>
      </c>
      <c r="AD21" s="84"/>
      <c r="AE21" s="85"/>
      <c r="AF21" s="83" t="s">
        <v>42</v>
      </c>
      <c r="AG21" s="84"/>
      <c r="AH21" s="85">
        <v>0.79166666666666663</v>
      </c>
      <c r="AI21" s="83" t="s">
        <v>43</v>
      </c>
      <c r="AJ21" s="84">
        <v>0.29166666666666669</v>
      </c>
      <c r="AK21" s="85">
        <v>0.79166666666666663</v>
      </c>
      <c r="AL21" s="83" t="s">
        <v>43</v>
      </c>
      <c r="AM21" s="84">
        <v>0.125</v>
      </c>
      <c r="AN21" s="146">
        <f t="shared" si="13"/>
        <v>44.000000000000007</v>
      </c>
      <c r="AO21" s="82">
        <v>0.79166666666666663</v>
      </c>
      <c r="AP21" s="83" t="s">
        <v>43</v>
      </c>
      <c r="AQ21" s="84">
        <v>0.29166666666666669</v>
      </c>
      <c r="AR21" s="85"/>
      <c r="AS21" s="83" t="s">
        <v>42</v>
      </c>
      <c r="AT21" s="84"/>
      <c r="AU21" s="85"/>
      <c r="AV21" s="83" t="s">
        <v>42</v>
      </c>
      <c r="AW21" s="84"/>
      <c r="AX21" s="85">
        <v>0.79166666666666663</v>
      </c>
      <c r="AY21" s="83" t="s">
        <v>43</v>
      </c>
      <c r="AZ21" s="84">
        <v>0.29166666666666669</v>
      </c>
      <c r="BA21" s="85">
        <v>0.79166666666666663</v>
      </c>
      <c r="BB21" s="83" t="s">
        <v>43</v>
      </c>
      <c r="BC21" s="84">
        <v>0.29166666666666669</v>
      </c>
      <c r="BD21" s="85"/>
      <c r="BE21" s="83" t="s">
        <v>42</v>
      </c>
      <c r="BF21" s="84"/>
      <c r="BG21" s="85"/>
      <c r="BH21" s="83" t="s">
        <v>42</v>
      </c>
      <c r="BI21" s="84"/>
      <c r="BJ21" s="146">
        <f t="shared" si="14"/>
        <v>36.000000000000007</v>
      </c>
      <c r="BK21" s="146">
        <f t="shared" si="15"/>
        <v>80.000000000000014</v>
      </c>
      <c r="BL21" s="147"/>
      <c r="BM21" s="147"/>
      <c r="BN21" s="147"/>
      <c r="BP21" s="153"/>
      <c r="BQ21" s="150" t="s">
        <v>42</v>
      </c>
      <c r="BR21" s="151"/>
      <c r="BS21" s="149"/>
      <c r="BT21" s="150" t="s">
        <v>42</v>
      </c>
      <c r="BU21" s="151"/>
      <c r="BV21" s="149"/>
      <c r="BW21" s="150" t="s">
        <v>42</v>
      </c>
      <c r="BX21" s="151"/>
      <c r="BY21" s="153">
        <v>0.29166666666666669</v>
      </c>
      <c r="BZ21" s="150" t="s">
        <v>43</v>
      </c>
      <c r="CA21" s="151">
        <v>0.79166666666666674</v>
      </c>
      <c r="CB21" s="149">
        <v>0.29166666666666669</v>
      </c>
      <c r="CC21" s="150" t="s">
        <v>43</v>
      </c>
      <c r="CD21" s="151">
        <v>0.79166666666666674</v>
      </c>
      <c r="CE21" s="153"/>
      <c r="CF21" s="150" t="s">
        <v>42</v>
      </c>
      <c r="CG21" s="151"/>
      <c r="CH21" s="153">
        <v>0.29166666666666669</v>
      </c>
      <c r="CI21" s="150" t="s">
        <v>43</v>
      </c>
      <c r="CJ21" s="151">
        <v>0.79166666666666674</v>
      </c>
      <c r="CK21" s="138">
        <v>8</v>
      </c>
      <c r="CL21" s="138">
        <v>1</v>
      </c>
    </row>
    <row r="22" spans="1:90" s="148" customFormat="1" ht="24.95" customHeight="1" x14ac:dyDescent="0.25">
      <c r="A22" s="137"/>
      <c r="B22" s="137">
        <v>3</v>
      </c>
      <c r="C22" s="137">
        <v>17</v>
      </c>
      <c r="D22" s="138"/>
      <c r="E22" s="138"/>
      <c r="F22" s="139">
        <f t="shared" si="0"/>
        <v>0.79166666666666663</v>
      </c>
      <c r="G22" s="139">
        <f t="shared" si="8"/>
        <v>0.79166666666666663</v>
      </c>
      <c r="H22" s="140">
        <f t="shared" si="9"/>
        <v>0</v>
      </c>
      <c r="I22" s="141">
        <f t="shared" si="10"/>
        <v>6</v>
      </c>
      <c r="J22" s="141">
        <f t="shared" si="11"/>
        <v>6</v>
      </c>
      <c r="K22" s="141">
        <f t="shared" si="12"/>
        <v>2</v>
      </c>
      <c r="L22" s="141" t="str">
        <f t="shared" si="1"/>
        <v>OK</v>
      </c>
      <c r="M22" s="141" t="str">
        <f t="shared" si="2"/>
        <v>OK</v>
      </c>
      <c r="N22" s="141">
        <f t="shared" si="3"/>
        <v>0</v>
      </c>
      <c r="O22" s="142" t="str">
        <f t="shared" si="4"/>
        <v>GS12</v>
      </c>
      <c r="P22" s="137">
        <f t="shared" si="5"/>
        <v>12.000000000000002</v>
      </c>
      <c r="Q22" s="137">
        <f t="shared" si="6"/>
        <v>4</v>
      </c>
      <c r="R22" s="137" t="str">
        <f t="shared" si="7"/>
        <v>GS12</v>
      </c>
      <c r="S22" s="82"/>
      <c r="T22" s="83" t="s">
        <v>42</v>
      </c>
      <c r="U22" s="84"/>
      <c r="V22" s="85"/>
      <c r="W22" s="83" t="s">
        <v>42</v>
      </c>
      <c r="X22" s="84"/>
      <c r="Y22" s="85">
        <v>0.79166666666666663</v>
      </c>
      <c r="Z22" s="83" t="s">
        <v>43</v>
      </c>
      <c r="AA22" s="84">
        <v>0.125</v>
      </c>
      <c r="AB22" s="85"/>
      <c r="AC22" s="83" t="s">
        <v>42</v>
      </c>
      <c r="AD22" s="84"/>
      <c r="AE22" s="85">
        <v>0.79166666666666663</v>
      </c>
      <c r="AF22" s="83" t="s">
        <v>43</v>
      </c>
      <c r="AG22" s="84">
        <v>0.29166666666666669</v>
      </c>
      <c r="AH22" s="85">
        <v>0.79166666666666663</v>
      </c>
      <c r="AI22" s="83" t="s">
        <v>43</v>
      </c>
      <c r="AJ22" s="84">
        <v>0.29166666666666669</v>
      </c>
      <c r="AK22" s="85">
        <v>0.79166666666666663</v>
      </c>
      <c r="AL22" s="83" t="s">
        <v>43</v>
      </c>
      <c r="AM22" s="84">
        <v>0.29166666666666669</v>
      </c>
      <c r="AN22" s="146">
        <f t="shared" si="13"/>
        <v>44</v>
      </c>
      <c r="AO22" s="82">
        <v>0.79166666666666663</v>
      </c>
      <c r="AP22" s="83" t="s">
        <v>43</v>
      </c>
      <c r="AQ22" s="84">
        <v>0.29166666666666669</v>
      </c>
      <c r="AR22" s="85">
        <v>0.79166666666666663</v>
      </c>
      <c r="AS22" s="83" t="s">
        <v>43</v>
      </c>
      <c r="AT22" s="84">
        <v>0.29166666666666669</v>
      </c>
      <c r="AU22" s="85">
        <v>0.79166666666666663</v>
      </c>
      <c r="AV22" s="83" t="s">
        <v>43</v>
      </c>
      <c r="AW22" s="84">
        <v>0.29166666666666669</v>
      </c>
      <c r="AX22" s="85"/>
      <c r="AY22" s="83" t="s">
        <v>42</v>
      </c>
      <c r="AZ22" s="84"/>
      <c r="BA22" s="85"/>
      <c r="BB22" s="83" t="s">
        <v>42</v>
      </c>
      <c r="BC22" s="84"/>
      <c r="BD22" s="85"/>
      <c r="BE22" s="83" t="s">
        <v>42</v>
      </c>
      <c r="BF22" s="84"/>
      <c r="BG22" s="85"/>
      <c r="BH22" s="83" t="s">
        <v>42</v>
      </c>
      <c r="BI22" s="84"/>
      <c r="BJ22" s="146">
        <f t="shared" si="14"/>
        <v>36.000000000000007</v>
      </c>
      <c r="BK22" s="146">
        <f t="shared" si="15"/>
        <v>80</v>
      </c>
      <c r="BL22" s="147"/>
      <c r="BM22" s="147"/>
      <c r="BN22" s="147"/>
      <c r="BP22" s="153"/>
      <c r="BQ22" s="150" t="s">
        <v>42</v>
      </c>
      <c r="BR22" s="151"/>
      <c r="BS22" s="153">
        <v>0.29166666666666669</v>
      </c>
      <c r="BT22" s="150" t="s">
        <v>43</v>
      </c>
      <c r="BU22" s="151">
        <v>0.79166666666666674</v>
      </c>
      <c r="BV22" s="153"/>
      <c r="BW22" s="150" t="s">
        <v>42</v>
      </c>
      <c r="BX22" s="151"/>
      <c r="BY22" s="153"/>
      <c r="BZ22" s="150" t="s">
        <v>42</v>
      </c>
      <c r="CA22" s="151"/>
      <c r="CB22" s="149">
        <v>0.29166666666666669</v>
      </c>
      <c r="CC22" s="150" t="s">
        <v>43</v>
      </c>
      <c r="CD22" s="151">
        <v>0.79166666666666674</v>
      </c>
      <c r="CE22" s="149">
        <v>0.29166666666666669</v>
      </c>
      <c r="CF22" s="150" t="s">
        <v>43</v>
      </c>
      <c r="CG22" s="151">
        <v>0.79166666666666674</v>
      </c>
      <c r="CH22" s="149"/>
      <c r="CI22" s="150" t="s">
        <v>42</v>
      </c>
      <c r="CJ22" s="151"/>
      <c r="CK22" s="138">
        <v>9</v>
      </c>
      <c r="CL22" s="138">
        <v>2</v>
      </c>
    </row>
    <row r="23" spans="1:90" s="148" customFormat="1" ht="24.95" customHeight="1" x14ac:dyDescent="0.25">
      <c r="A23" s="137"/>
      <c r="B23" s="137">
        <v>3</v>
      </c>
      <c r="C23" s="137">
        <v>18</v>
      </c>
      <c r="D23" s="138"/>
      <c r="E23" s="138"/>
      <c r="F23" s="139">
        <f t="shared" si="0"/>
        <v>0.79166666666666663</v>
      </c>
      <c r="G23" s="139">
        <f t="shared" si="8"/>
        <v>0.79166666666666663</v>
      </c>
      <c r="H23" s="140">
        <f t="shared" si="9"/>
        <v>0</v>
      </c>
      <c r="I23" s="141">
        <f t="shared" si="10"/>
        <v>6</v>
      </c>
      <c r="J23" s="141">
        <f t="shared" si="11"/>
        <v>5</v>
      </c>
      <c r="K23" s="141">
        <f t="shared" si="12"/>
        <v>2</v>
      </c>
      <c r="L23" s="141" t="str">
        <f t="shared" si="1"/>
        <v>OK</v>
      </c>
      <c r="M23" s="141" t="str">
        <f t="shared" si="2"/>
        <v>OK</v>
      </c>
      <c r="N23" s="141">
        <f t="shared" si="3"/>
        <v>0</v>
      </c>
      <c r="O23" s="142" t="str">
        <f t="shared" si="4"/>
        <v>GS12</v>
      </c>
      <c r="P23" s="137">
        <f t="shared" si="5"/>
        <v>12.000000000000002</v>
      </c>
      <c r="Q23" s="137">
        <f t="shared" si="6"/>
        <v>3</v>
      </c>
      <c r="R23" s="137" t="str">
        <f t="shared" si="7"/>
        <v>GS12</v>
      </c>
      <c r="S23" s="82"/>
      <c r="T23" s="83" t="s">
        <v>42</v>
      </c>
      <c r="U23" s="84"/>
      <c r="V23" s="85"/>
      <c r="W23" s="83" t="s">
        <v>42</v>
      </c>
      <c r="X23" s="84"/>
      <c r="Y23" s="85">
        <v>0.79166666666666663</v>
      </c>
      <c r="Z23" s="83" t="s">
        <v>43</v>
      </c>
      <c r="AA23" s="84">
        <v>0.29166666666666669</v>
      </c>
      <c r="AB23" s="85"/>
      <c r="AC23" s="83" t="s">
        <v>42</v>
      </c>
      <c r="AD23" s="84"/>
      <c r="AE23" s="85"/>
      <c r="AF23" s="83" t="s">
        <v>42</v>
      </c>
      <c r="AG23" s="84"/>
      <c r="AH23" s="85">
        <v>0.79166666666666663</v>
      </c>
      <c r="AI23" s="83" t="s">
        <v>43</v>
      </c>
      <c r="AJ23" s="84">
        <v>0.29166666666666669</v>
      </c>
      <c r="AK23" s="85">
        <v>0.79166666666666663</v>
      </c>
      <c r="AL23" s="83" t="s">
        <v>43</v>
      </c>
      <c r="AM23" s="84">
        <v>0.29166666666666669</v>
      </c>
      <c r="AN23" s="146">
        <f t="shared" si="13"/>
        <v>36.000000000000007</v>
      </c>
      <c r="AO23" s="82">
        <v>0.79166666666666663</v>
      </c>
      <c r="AP23" s="83" t="s">
        <v>43</v>
      </c>
      <c r="AQ23" s="84">
        <v>0.29166666666666669</v>
      </c>
      <c r="AR23" s="85">
        <v>0.79166666666666663</v>
      </c>
      <c r="AS23" s="83" t="s">
        <v>43</v>
      </c>
      <c r="AT23" s="84">
        <v>0.125</v>
      </c>
      <c r="AU23" s="85">
        <v>0.79166666666666663</v>
      </c>
      <c r="AV23" s="83" t="s">
        <v>43</v>
      </c>
      <c r="AW23" s="84">
        <v>0.29166666666666669</v>
      </c>
      <c r="AX23" s="85">
        <v>0.79166666666666663</v>
      </c>
      <c r="AY23" s="83" t="s">
        <v>43</v>
      </c>
      <c r="AZ23" s="84">
        <v>0.29166666666666669</v>
      </c>
      <c r="BA23" s="85"/>
      <c r="BB23" s="83" t="s">
        <v>42</v>
      </c>
      <c r="BC23" s="84"/>
      <c r="BD23" s="85"/>
      <c r="BE23" s="83" t="s">
        <v>42</v>
      </c>
      <c r="BF23" s="84"/>
      <c r="BG23" s="85"/>
      <c r="BH23" s="83" t="s">
        <v>42</v>
      </c>
      <c r="BI23" s="84"/>
      <c r="BJ23" s="146">
        <f t="shared" si="14"/>
        <v>44</v>
      </c>
      <c r="BK23" s="146">
        <f t="shared" si="15"/>
        <v>80</v>
      </c>
      <c r="BL23" s="147"/>
      <c r="BM23" s="147"/>
      <c r="BN23" s="147"/>
      <c r="BP23" s="153"/>
      <c r="BQ23" s="150" t="s">
        <v>42</v>
      </c>
      <c r="BR23" s="151"/>
      <c r="BS23" s="149">
        <v>0.29166666666666669</v>
      </c>
      <c r="BT23" s="150" t="s">
        <v>43</v>
      </c>
      <c r="BU23" s="151">
        <v>0.79166666666666674</v>
      </c>
      <c r="BV23" s="149"/>
      <c r="BW23" s="150" t="s">
        <v>42</v>
      </c>
      <c r="BX23" s="151"/>
      <c r="BY23" s="153"/>
      <c r="BZ23" s="150" t="s">
        <v>42</v>
      </c>
      <c r="CA23" s="151"/>
      <c r="CB23" s="153"/>
      <c r="CC23" s="150" t="s">
        <v>42</v>
      </c>
      <c r="CD23" s="151"/>
      <c r="CE23" s="149">
        <v>0.29166666666666669</v>
      </c>
      <c r="CF23" s="150" t="s">
        <v>43</v>
      </c>
      <c r="CG23" s="151">
        <v>0.79166666666666674</v>
      </c>
      <c r="CH23" s="149">
        <v>0.29166666666666669</v>
      </c>
      <c r="CI23" s="150" t="s">
        <v>43</v>
      </c>
      <c r="CJ23" s="151">
        <v>0.79166666666666674</v>
      </c>
      <c r="CK23" s="138">
        <v>9</v>
      </c>
      <c r="CL23" s="138">
        <v>1</v>
      </c>
    </row>
    <row r="24" spans="1:90" s="148" customFormat="1" ht="24.95" customHeight="1" x14ac:dyDescent="0.25">
      <c r="A24" s="137"/>
      <c r="B24" s="137">
        <v>3</v>
      </c>
      <c r="C24" s="137">
        <v>19</v>
      </c>
      <c r="D24" s="138"/>
      <c r="E24" s="138"/>
      <c r="F24" s="139">
        <f t="shared" ref="F24:F30" si="16">TourMinStartTime(S24:AM24,AO24:BI24)</f>
        <v>0.79166666666666663</v>
      </c>
      <c r="G24" s="139">
        <f t="shared" ref="G24:G30" si="17">TourMaxStartTime(S24:AM24,AO24:BI24)</f>
        <v>0.79166666666666663</v>
      </c>
      <c r="H24" s="140">
        <f t="shared" ref="H24:H30" si="18">(G24-F24)</f>
        <v>0</v>
      </c>
      <c r="I24" s="141">
        <f t="shared" ref="I24:I30" si="19">TourMaxWorkStretch(TRUE,S24:AM24,AO24:BI24)</f>
        <v>5</v>
      </c>
      <c r="J24" s="141">
        <f t="shared" ref="J24:J30" si="20">TourMaxOffStretch(TRUE,S24:AM24,AO24:BI24)</f>
        <v>6</v>
      </c>
      <c r="K24" s="141">
        <f t="shared" ref="K24:K30" si="21">TourWeekendDaysWorked(WeekendMidnightThreshold,S24:AM24,AO24:BI24)</f>
        <v>2</v>
      </c>
      <c r="L24" s="141" t="str">
        <f t="shared" ref="L24:L30" si="22">IF(FIND(TEXT(AN24,"0"),VLOOKUP(B24,Tour_Type_SchedHours,3))&gt;0,"OK","ERROR")</f>
        <v>OK</v>
      </c>
      <c r="M24" s="141" t="str">
        <f t="shared" ref="M24:M30" si="23">IF(FIND(TEXT(BJ24,"0"),VLOOKUP(B24,Tour_Type_SchedHours,3))&gt;0,"OK","ERROR")</f>
        <v>OK</v>
      </c>
      <c r="N24" s="141">
        <f t="shared" ref="N24:N30" si="24">BK24-VLOOKUP(B24,Tour_Type_SchedHours,2)</f>
        <v>0</v>
      </c>
      <c r="O24" s="142" t="str">
        <f t="shared" ref="O24:O30" si="25">VLOOKUP(B24,Nurse_Labels,2)</f>
        <v>GS12</v>
      </c>
      <c r="P24" s="137">
        <f t="shared" ref="P24:P30" si="26">TourMaxShiftLength(S24:AM24)</f>
        <v>12.000000000000002</v>
      </c>
      <c r="Q24" s="137">
        <f t="shared" ref="Q24:Q30" si="27">TourNumDaysWorked(S24:AM24)</f>
        <v>4</v>
      </c>
      <c r="R24" s="137" t="str">
        <f t="shared" ref="R24:R30" si="28">VLOOKUP(B24,Tour_Type_Labels,2)</f>
        <v>GS12</v>
      </c>
      <c r="S24" s="82">
        <v>0.79166666666666663</v>
      </c>
      <c r="T24" s="83" t="s">
        <v>43</v>
      </c>
      <c r="U24" s="84">
        <v>0.29166666666666669</v>
      </c>
      <c r="V24" s="85">
        <v>0.79166666666666663</v>
      </c>
      <c r="W24" s="83" t="s">
        <v>43</v>
      </c>
      <c r="X24" s="84">
        <v>0.29166666666666669</v>
      </c>
      <c r="Y24" s="85"/>
      <c r="Z24" s="83" t="s">
        <v>42</v>
      </c>
      <c r="AA24" s="84"/>
      <c r="AB24" s="85">
        <v>0.79166666666666663</v>
      </c>
      <c r="AC24" s="83" t="s">
        <v>43</v>
      </c>
      <c r="AD24" s="84">
        <v>0.29166666666666669</v>
      </c>
      <c r="AE24" s="85">
        <v>0.79166666666666663</v>
      </c>
      <c r="AF24" s="83" t="s">
        <v>43</v>
      </c>
      <c r="AG24" s="84">
        <v>0.125</v>
      </c>
      <c r="AH24" s="85"/>
      <c r="AI24" s="83" t="s">
        <v>42</v>
      </c>
      <c r="AJ24" s="84"/>
      <c r="AK24" s="85"/>
      <c r="AL24" s="83" t="s">
        <v>42</v>
      </c>
      <c r="AM24" s="84"/>
      <c r="AN24" s="146">
        <f t="shared" si="13"/>
        <v>44.000000000000007</v>
      </c>
      <c r="AO24" s="82"/>
      <c r="AP24" s="83" t="s">
        <v>42</v>
      </c>
      <c r="AQ24" s="84"/>
      <c r="AR24" s="85"/>
      <c r="AS24" s="83" t="s">
        <v>42</v>
      </c>
      <c r="AT24" s="84"/>
      <c r="AU24" s="85"/>
      <c r="AV24" s="83" t="s">
        <v>42</v>
      </c>
      <c r="AW24" s="84"/>
      <c r="AX24" s="85"/>
      <c r="AY24" s="83" t="s">
        <v>42</v>
      </c>
      <c r="AZ24" s="84"/>
      <c r="BA24" s="85">
        <v>0.79166666666666663</v>
      </c>
      <c r="BB24" s="83" t="s">
        <v>43</v>
      </c>
      <c r="BC24" s="84">
        <v>0.29166666666666669</v>
      </c>
      <c r="BD24" s="85">
        <v>0.79166666666666663</v>
      </c>
      <c r="BE24" s="83" t="s">
        <v>43</v>
      </c>
      <c r="BF24" s="84">
        <v>0.29166666666666669</v>
      </c>
      <c r="BG24" s="85">
        <v>0.79166666666666663</v>
      </c>
      <c r="BH24" s="83" t="s">
        <v>43</v>
      </c>
      <c r="BI24" s="84">
        <v>0.29166666666666669</v>
      </c>
      <c r="BJ24" s="146">
        <f t="shared" ref="BJ24:BJ30" si="29">TourHours(AO24:BI24,0)</f>
        <v>36.000000000000007</v>
      </c>
      <c r="BK24" s="146">
        <f t="shared" ref="BK24:BK30" si="30">BJ24+AN24</f>
        <v>80.000000000000014</v>
      </c>
      <c r="BL24" s="147"/>
      <c r="BM24" s="147"/>
      <c r="BN24" s="147"/>
      <c r="BP24" s="153"/>
      <c r="BQ24" s="150" t="s">
        <v>42</v>
      </c>
      <c r="BR24" s="151"/>
      <c r="BS24" s="149">
        <v>0.29166666666666669</v>
      </c>
      <c r="BT24" s="150" t="s">
        <v>43</v>
      </c>
      <c r="BU24" s="151">
        <v>0.79166666666666674</v>
      </c>
      <c r="BV24" s="149"/>
      <c r="BW24" s="150" t="s">
        <v>42</v>
      </c>
      <c r="BX24" s="151"/>
      <c r="BY24" s="149"/>
      <c r="BZ24" s="150" t="s">
        <v>42</v>
      </c>
      <c r="CA24" s="151"/>
      <c r="CB24" s="149">
        <v>0.29166666666666669</v>
      </c>
      <c r="CC24" s="150" t="s">
        <v>43</v>
      </c>
      <c r="CD24" s="151">
        <v>0.79166666666666674</v>
      </c>
      <c r="CE24" s="149"/>
      <c r="CF24" s="150" t="s">
        <v>42</v>
      </c>
      <c r="CG24" s="151"/>
      <c r="CH24" s="149">
        <v>0.29166666666666669</v>
      </c>
      <c r="CI24" s="150" t="s">
        <v>43</v>
      </c>
      <c r="CJ24" s="151">
        <v>0.79166666666666674</v>
      </c>
      <c r="CK24" s="138">
        <v>10</v>
      </c>
      <c r="CL24" s="138">
        <v>2</v>
      </c>
    </row>
    <row r="25" spans="1:90" s="148" customFormat="1" ht="24.95" customHeight="1" x14ac:dyDescent="0.25">
      <c r="A25" s="137"/>
      <c r="B25" s="137">
        <v>3</v>
      </c>
      <c r="C25" s="137">
        <v>20</v>
      </c>
      <c r="D25" s="138"/>
      <c r="E25" s="138"/>
      <c r="F25" s="139">
        <f t="shared" si="16"/>
        <v>0.79166666666666663</v>
      </c>
      <c r="G25" s="139">
        <f t="shared" si="17"/>
        <v>0.79166666666666663</v>
      </c>
      <c r="H25" s="140">
        <f t="shared" si="18"/>
        <v>0</v>
      </c>
      <c r="I25" s="141">
        <f t="shared" si="19"/>
        <v>5</v>
      </c>
      <c r="J25" s="141">
        <f t="shared" si="20"/>
        <v>5</v>
      </c>
      <c r="K25" s="141">
        <f t="shared" si="21"/>
        <v>2</v>
      </c>
      <c r="L25" s="141" t="str">
        <f t="shared" si="22"/>
        <v>OK</v>
      </c>
      <c r="M25" s="141" t="str">
        <f t="shared" si="23"/>
        <v>OK</v>
      </c>
      <c r="N25" s="141">
        <f t="shared" si="24"/>
        <v>0</v>
      </c>
      <c r="O25" s="142" t="str">
        <f t="shared" si="25"/>
        <v>GS12</v>
      </c>
      <c r="P25" s="137">
        <f t="shared" si="26"/>
        <v>12.000000000000002</v>
      </c>
      <c r="Q25" s="137">
        <f t="shared" si="27"/>
        <v>3</v>
      </c>
      <c r="R25" s="137" t="str">
        <f t="shared" si="28"/>
        <v>GS12</v>
      </c>
      <c r="S25" s="82">
        <v>0.79166666666666663</v>
      </c>
      <c r="T25" s="83" t="s">
        <v>43</v>
      </c>
      <c r="U25" s="84">
        <v>0.29166666666666669</v>
      </c>
      <c r="V25" s="85"/>
      <c r="W25" s="83" t="s">
        <v>42</v>
      </c>
      <c r="X25" s="84"/>
      <c r="Y25" s="85"/>
      <c r="Z25" s="83" t="s">
        <v>42</v>
      </c>
      <c r="AA25" s="84"/>
      <c r="AB25" s="85">
        <v>0.79166666666666663</v>
      </c>
      <c r="AC25" s="83" t="s">
        <v>43</v>
      </c>
      <c r="AD25" s="84">
        <v>0.29166666666666669</v>
      </c>
      <c r="AE25" s="85">
        <v>0.79166666666666663</v>
      </c>
      <c r="AF25" s="83" t="s">
        <v>43</v>
      </c>
      <c r="AG25" s="84">
        <v>0.29166666666666669</v>
      </c>
      <c r="AH25" s="85"/>
      <c r="AI25" s="83" t="s">
        <v>42</v>
      </c>
      <c r="AJ25" s="84"/>
      <c r="AK25" s="85"/>
      <c r="AL25" s="83" t="s">
        <v>42</v>
      </c>
      <c r="AM25" s="84"/>
      <c r="AN25" s="146">
        <f t="shared" si="13"/>
        <v>36.000000000000007</v>
      </c>
      <c r="AO25" s="82"/>
      <c r="AP25" s="83" t="s">
        <v>42</v>
      </c>
      <c r="AQ25" s="84"/>
      <c r="AR25" s="85"/>
      <c r="AS25" s="83" t="s">
        <v>42</v>
      </c>
      <c r="AT25" s="84"/>
      <c r="AU25" s="85"/>
      <c r="AV25" s="83" t="s">
        <v>42</v>
      </c>
      <c r="AW25" s="84"/>
      <c r="AX25" s="85">
        <v>0.79166666666666663</v>
      </c>
      <c r="AY25" s="83" t="s">
        <v>43</v>
      </c>
      <c r="AZ25" s="84">
        <v>0.125</v>
      </c>
      <c r="BA25" s="85">
        <v>0.79166666666666663</v>
      </c>
      <c r="BB25" s="83" t="s">
        <v>43</v>
      </c>
      <c r="BC25" s="84">
        <v>0.29166666666666669</v>
      </c>
      <c r="BD25" s="85">
        <v>0.79166666666666663</v>
      </c>
      <c r="BE25" s="83" t="s">
        <v>43</v>
      </c>
      <c r="BF25" s="84">
        <v>0.29166666666666669</v>
      </c>
      <c r="BG25" s="85">
        <v>0.79166666666666663</v>
      </c>
      <c r="BH25" s="83" t="s">
        <v>43</v>
      </c>
      <c r="BI25" s="84">
        <v>0.29166666666666669</v>
      </c>
      <c r="BJ25" s="146">
        <f t="shared" si="29"/>
        <v>44</v>
      </c>
      <c r="BK25" s="146">
        <f t="shared" si="30"/>
        <v>80</v>
      </c>
      <c r="BL25" s="147"/>
      <c r="BM25" s="147"/>
      <c r="BN25" s="147"/>
      <c r="BP25" s="152"/>
      <c r="BQ25" s="144" t="s">
        <v>42</v>
      </c>
      <c r="BR25" s="145"/>
      <c r="BS25" s="143">
        <v>0.29166666666666669</v>
      </c>
      <c r="BT25" s="144" t="s">
        <v>43</v>
      </c>
      <c r="BU25" s="145">
        <v>0.79166666666666674</v>
      </c>
      <c r="BV25" s="143"/>
      <c r="BW25" s="144" t="s">
        <v>42</v>
      </c>
      <c r="BX25" s="145"/>
      <c r="BY25" s="143"/>
      <c r="BZ25" s="144" t="s">
        <v>42</v>
      </c>
      <c r="CA25" s="145"/>
      <c r="CB25" s="143">
        <v>0.29166666666666669</v>
      </c>
      <c r="CC25" s="144" t="s">
        <v>43</v>
      </c>
      <c r="CD25" s="145">
        <v>0.79166666666666674</v>
      </c>
      <c r="CE25" s="143"/>
      <c r="CF25" s="144" t="s">
        <v>42</v>
      </c>
      <c r="CG25" s="145"/>
      <c r="CH25" s="143">
        <v>0.29166666666666669</v>
      </c>
      <c r="CI25" s="144" t="s">
        <v>43</v>
      </c>
      <c r="CJ25" s="145">
        <v>0.79166666666666674</v>
      </c>
      <c r="CK25" s="138">
        <v>10</v>
      </c>
      <c r="CL25" s="138">
        <v>1</v>
      </c>
    </row>
    <row r="26" spans="1:90" s="148" customFormat="1" ht="24.95" customHeight="1" x14ac:dyDescent="0.25">
      <c r="A26" s="137"/>
      <c r="B26" s="137">
        <v>6</v>
      </c>
      <c r="C26" s="137">
        <v>22</v>
      </c>
      <c r="D26" s="138"/>
      <c r="E26" s="138"/>
      <c r="F26" s="139">
        <f t="shared" si="16"/>
        <v>0.79166666666666663</v>
      </c>
      <c r="G26" s="139">
        <f t="shared" si="17"/>
        <v>0.79166666666666663</v>
      </c>
      <c r="H26" s="140">
        <f t="shared" si="18"/>
        <v>0</v>
      </c>
      <c r="I26" s="141">
        <f t="shared" si="19"/>
        <v>4</v>
      </c>
      <c r="J26" s="141">
        <f t="shared" si="20"/>
        <v>5</v>
      </c>
      <c r="K26" s="141">
        <f t="shared" si="21"/>
        <v>2</v>
      </c>
      <c r="L26" s="141" t="str">
        <f t="shared" si="22"/>
        <v>OK</v>
      </c>
      <c r="M26" s="141" t="str">
        <f t="shared" si="23"/>
        <v>OK</v>
      </c>
      <c r="N26" s="141">
        <f t="shared" si="24"/>
        <v>4.0000000000000142</v>
      </c>
      <c r="O26" s="142" t="str">
        <f t="shared" si="25"/>
        <v>FT12</v>
      </c>
      <c r="P26" s="137">
        <f t="shared" si="26"/>
        <v>12.000000000000002</v>
      </c>
      <c r="Q26" s="137">
        <f t="shared" si="27"/>
        <v>3</v>
      </c>
      <c r="R26" s="137" t="str">
        <f t="shared" si="28"/>
        <v>FT12</v>
      </c>
      <c r="S26" s="82"/>
      <c r="T26" s="83" t="s">
        <v>42</v>
      </c>
      <c r="U26" s="84"/>
      <c r="V26" s="85"/>
      <c r="W26" s="83" t="s">
        <v>42</v>
      </c>
      <c r="X26" s="84"/>
      <c r="Y26" s="85"/>
      <c r="Z26" s="83" t="s">
        <v>42</v>
      </c>
      <c r="AA26" s="84"/>
      <c r="AB26" s="85">
        <v>0.79166666666666663</v>
      </c>
      <c r="AC26" s="83" t="s">
        <v>43</v>
      </c>
      <c r="AD26" s="84">
        <v>0.29166666666666669</v>
      </c>
      <c r="AE26" s="85"/>
      <c r="AF26" s="83" t="s">
        <v>42</v>
      </c>
      <c r="AG26" s="84"/>
      <c r="AH26" s="85">
        <v>0.79166666666666663</v>
      </c>
      <c r="AI26" s="83" t="s">
        <v>43</v>
      </c>
      <c r="AJ26" s="84">
        <v>0.29166666666666669</v>
      </c>
      <c r="AK26" s="85">
        <v>0.79166666666666663</v>
      </c>
      <c r="AL26" s="83" t="s">
        <v>43</v>
      </c>
      <c r="AM26" s="84">
        <v>0.29166666666666669</v>
      </c>
      <c r="AN26" s="146">
        <f t="shared" si="13"/>
        <v>36.000000000000007</v>
      </c>
      <c r="AO26" s="82"/>
      <c r="AP26" s="83" t="s">
        <v>42</v>
      </c>
      <c r="AQ26" s="84"/>
      <c r="AR26" s="85">
        <v>0.79166666666666663</v>
      </c>
      <c r="AS26" s="83" t="s">
        <v>43</v>
      </c>
      <c r="AT26" s="84">
        <v>0.29166666666666669</v>
      </c>
      <c r="AU26" s="85">
        <v>0.79166666666666663</v>
      </c>
      <c r="AV26" s="83" t="s">
        <v>43</v>
      </c>
      <c r="AW26" s="84">
        <v>0.29166666666666669</v>
      </c>
      <c r="AX26" s="85">
        <v>0.79166666666666663</v>
      </c>
      <c r="AY26" s="83" t="s">
        <v>43</v>
      </c>
      <c r="AZ26" s="84">
        <v>0.29166666666666669</v>
      </c>
      <c r="BA26" s="85">
        <v>0.79166666666666663</v>
      </c>
      <c r="BB26" s="83" t="s">
        <v>43</v>
      </c>
      <c r="BC26" s="84">
        <v>0.29166666666666669</v>
      </c>
      <c r="BD26" s="85"/>
      <c r="BE26" s="83" t="s">
        <v>42</v>
      </c>
      <c r="BF26" s="84"/>
      <c r="BG26" s="85"/>
      <c r="BH26" s="83" t="s">
        <v>42</v>
      </c>
      <c r="BI26" s="84"/>
      <c r="BJ26" s="146">
        <f t="shared" si="29"/>
        <v>48.000000000000007</v>
      </c>
      <c r="BK26" s="146">
        <f t="shared" si="30"/>
        <v>84.000000000000014</v>
      </c>
      <c r="BL26" s="147"/>
      <c r="BM26" s="147"/>
      <c r="BN26" s="147"/>
      <c r="BP26" s="153">
        <v>0.29166666666666669</v>
      </c>
      <c r="BQ26" s="150" t="s">
        <v>43</v>
      </c>
      <c r="BR26" s="151">
        <v>0.625</v>
      </c>
      <c r="BS26" s="149"/>
      <c r="BT26" s="150" t="s">
        <v>42</v>
      </c>
      <c r="BU26" s="151"/>
      <c r="BV26" s="149">
        <v>0.29166666666666669</v>
      </c>
      <c r="BW26" s="150" t="s">
        <v>43</v>
      </c>
      <c r="BX26" s="151">
        <v>0.625</v>
      </c>
      <c r="BY26" s="149">
        <v>0.29166666666666669</v>
      </c>
      <c r="BZ26" s="150" t="s">
        <v>43</v>
      </c>
      <c r="CA26" s="151">
        <v>0.625</v>
      </c>
      <c r="CB26" s="149">
        <v>0.29166666666666669</v>
      </c>
      <c r="CC26" s="150" t="s">
        <v>43</v>
      </c>
      <c r="CD26" s="151">
        <v>0.625</v>
      </c>
      <c r="CE26" s="149">
        <v>0.29166666666666669</v>
      </c>
      <c r="CF26" s="150" t="s">
        <v>43</v>
      </c>
      <c r="CG26" s="151">
        <v>0.625</v>
      </c>
      <c r="CH26" s="149"/>
      <c r="CI26" s="150" t="s">
        <v>42</v>
      </c>
      <c r="CJ26" s="151"/>
      <c r="CK26" s="138">
        <v>11</v>
      </c>
      <c r="CL26" s="138">
        <v>1</v>
      </c>
    </row>
    <row r="27" spans="1:90" s="148" customFormat="1" ht="24.95" customHeight="1" x14ac:dyDescent="0.25">
      <c r="A27" s="137"/>
      <c r="B27" s="137">
        <v>6</v>
      </c>
      <c r="C27" s="137">
        <v>23</v>
      </c>
      <c r="D27" s="138"/>
      <c r="E27" s="138"/>
      <c r="F27" s="139">
        <f t="shared" si="16"/>
        <v>0.79166666666666663</v>
      </c>
      <c r="G27" s="139">
        <f t="shared" si="17"/>
        <v>0.79166666666666663</v>
      </c>
      <c r="H27" s="140">
        <f t="shared" si="18"/>
        <v>0</v>
      </c>
      <c r="I27" s="141">
        <f t="shared" si="19"/>
        <v>3</v>
      </c>
      <c r="J27" s="141">
        <f t="shared" si="20"/>
        <v>4</v>
      </c>
      <c r="K27" s="141">
        <f t="shared" si="21"/>
        <v>2</v>
      </c>
      <c r="L27" s="141" t="str">
        <f t="shared" si="22"/>
        <v>OK</v>
      </c>
      <c r="M27" s="141" t="str">
        <f t="shared" si="23"/>
        <v>OK</v>
      </c>
      <c r="N27" s="141">
        <f t="shared" si="24"/>
        <v>4.0000000000000142</v>
      </c>
      <c r="O27" s="142" t="str">
        <f t="shared" si="25"/>
        <v>FT12</v>
      </c>
      <c r="P27" s="137">
        <f t="shared" si="26"/>
        <v>12.000000000000002</v>
      </c>
      <c r="Q27" s="137">
        <f t="shared" si="27"/>
        <v>3</v>
      </c>
      <c r="R27" s="137" t="str">
        <f t="shared" si="28"/>
        <v>FT12</v>
      </c>
      <c r="S27" s="82"/>
      <c r="T27" s="83" t="s">
        <v>42</v>
      </c>
      <c r="U27" s="84"/>
      <c r="V27" s="85">
        <v>0.79166666666666663</v>
      </c>
      <c r="W27" s="83" t="s">
        <v>43</v>
      </c>
      <c r="X27" s="84">
        <v>0.29166666666666669</v>
      </c>
      <c r="Y27" s="85">
        <v>0.79166666666666663</v>
      </c>
      <c r="Z27" s="83" t="s">
        <v>43</v>
      </c>
      <c r="AA27" s="84">
        <v>0.29166666666666669</v>
      </c>
      <c r="AB27" s="85">
        <v>0.79166666666666663</v>
      </c>
      <c r="AC27" s="83" t="s">
        <v>43</v>
      </c>
      <c r="AD27" s="84">
        <v>0.29166666666666669</v>
      </c>
      <c r="AE27" s="85"/>
      <c r="AF27" s="83" t="s">
        <v>42</v>
      </c>
      <c r="AG27" s="84"/>
      <c r="AH27" s="85"/>
      <c r="AI27" s="83" t="s">
        <v>42</v>
      </c>
      <c r="AJ27" s="84"/>
      <c r="AK27" s="85"/>
      <c r="AL27" s="83" t="s">
        <v>42</v>
      </c>
      <c r="AM27" s="84"/>
      <c r="AN27" s="146">
        <f t="shared" si="13"/>
        <v>36.000000000000007</v>
      </c>
      <c r="AO27" s="82"/>
      <c r="AP27" s="83" t="s">
        <v>42</v>
      </c>
      <c r="AQ27" s="84"/>
      <c r="AR27" s="85">
        <v>0.79166666666666663</v>
      </c>
      <c r="AS27" s="83" t="s">
        <v>43</v>
      </c>
      <c r="AT27" s="84">
        <v>0.29166666666666669</v>
      </c>
      <c r="AU27" s="85">
        <v>0.79166666666666663</v>
      </c>
      <c r="AV27" s="83" t="s">
        <v>43</v>
      </c>
      <c r="AW27" s="84">
        <v>0.29166666666666669</v>
      </c>
      <c r="AX27" s="85"/>
      <c r="AY27" s="83" t="s">
        <v>42</v>
      </c>
      <c r="AZ27" s="84"/>
      <c r="BA27" s="85"/>
      <c r="BB27" s="83" t="s">
        <v>42</v>
      </c>
      <c r="BC27" s="84"/>
      <c r="BD27" s="85">
        <v>0.79166666666666663</v>
      </c>
      <c r="BE27" s="83" t="s">
        <v>43</v>
      </c>
      <c r="BF27" s="84">
        <v>0.29166666666666669</v>
      </c>
      <c r="BG27" s="85">
        <v>0.79166666666666663</v>
      </c>
      <c r="BH27" s="83" t="s">
        <v>43</v>
      </c>
      <c r="BI27" s="84">
        <v>0.29166666666666669</v>
      </c>
      <c r="BJ27" s="146">
        <f t="shared" si="29"/>
        <v>48.000000000000007</v>
      </c>
      <c r="BK27" s="146">
        <f t="shared" si="30"/>
        <v>84.000000000000014</v>
      </c>
      <c r="BL27" s="147"/>
      <c r="BM27" s="147"/>
      <c r="BN27" s="147"/>
      <c r="BP27" s="153">
        <v>0.29166666666666669</v>
      </c>
      <c r="BQ27" s="150" t="s">
        <v>43</v>
      </c>
      <c r="BR27" s="151">
        <v>0.625</v>
      </c>
      <c r="BS27" s="149">
        <v>0.29166666666666669</v>
      </c>
      <c r="BT27" s="150" t="s">
        <v>43</v>
      </c>
      <c r="BU27" s="151">
        <v>0.625</v>
      </c>
      <c r="BV27" s="149">
        <v>0.29166666666666669</v>
      </c>
      <c r="BW27" s="150" t="s">
        <v>43</v>
      </c>
      <c r="BX27" s="151">
        <v>0.625</v>
      </c>
      <c r="BY27" s="149">
        <v>0.29166666666666669</v>
      </c>
      <c r="BZ27" s="150" t="s">
        <v>43</v>
      </c>
      <c r="CA27" s="151">
        <v>0.625</v>
      </c>
      <c r="CB27" s="149">
        <v>0.29166666666666669</v>
      </c>
      <c r="CC27" s="150" t="s">
        <v>43</v>
      </c>
      <c r="CD27" s="151">
        <v>0.625</v>
      </c>
      <c r="CE27" s="149"/>
      <c r="CF27" s="150" t="s">
        <v>42</v>
      </c>
      <c r="CG27" s="151"/>
      <c r="CH27" s="149"/>
      <c r="CI27" s="150" t="s">
        <v>42</v>
      </c>
      <c r="CJ27" s="151"/>
      <c r="CK27" s="138">
        <v>12</v>
      </c>
      <c r="CL27" s="138">
        <v>2</v>
      </c>
    </row>
    <row r="28" spans="1:90" s="148" customFormat="1" ht="24.95" customHeight="1" x14ac:dyDescent="0.25">
      <c r="A28" s="137"/>
      <c r="B28" s="137">
        <v>6</v>
      </c>
      <c r="C28" s="137">
        <v>25</v>
      </c>
      <c r="D28" s="138"/>
      <c r="E28" s="138"/>
      <c r="F28" s="139">
        <f t="shared" si="16"/>
        <v>0.79166666666666663</v>
      </c>
      <c r="G28" s="139">
        <f t="shared" si="17"/>
        <v>0.79166666666666663</v>
      </c>
      <c r="H28" s="140">
        <f t="shared" si="18"/>
        <v>0</v>
      </c>
      <c r="I28" s="141">
        <f t="shared" si="19"/>
        <v>3</v>
      </c>
      <c r="J28" s="141">
        <f t="shared" si="20"/>
        <v>3</v>
      </c>
      <c r="K28" s="141">
        <f t="shared" si="21"/>
        <v>2</v>
      </c>
      <c r="L28" s="141" t="str">
        <f t="shared" si="22"/>
        <v>OK</v>
      </c>
      <c r="M28" s="141" t="str">
        <f t="shared" si="23"/>
        <v>OK</v>
      </c>
      <c r="N28" s="141">
        <f t="shared" si="24"/>
        <v>4.0000000000000142</v>
      </c>
      <c r="O28" s="142" t="str">
        <f t="shared" si="25"/>
        <v>FT12</v>
      </c>
      <c r="P28" s="137">
        <f t="shared" si="26"/>
        <v>12.000000000000002</v>
      </c>
      <c r="Q28" s="137">
        <f t="shared" si="27"/>
        <v>3</v>
      </c>
      <c r="R28" s="137" t="str">
        <f t="shared" si="28"/>
        <v>FT12</v>
      </c>
      <c r="S28" s="82"/>
      <c r="T28" s="83" t="s">
        <v>42</v>
      </c>
      <c r="U28" s="84"/>
      <c r="V28" s="85"/>
      <c r="W28" s="83" t="s">
        <v>42</v>
      </c>
      <c r="X28" s="84"/>
      <c r="Y28" s="85">
        <v>0.79166666666666663</v>
      </c>
      <c r="Z28" s="83" t="s">
        <v>43</v>
      </c>
      <c r="AA28" s="84">
        <v>0.29166666666666669</v>
      </c>
      <c r="AB28" s="85">
        <v>0.79166666666666663</v>
      </c>
      <c r="AC28" s="83" t="s">
        <v>43</v>
      </c>
      <c r="AD28" s="84">
        <v>0.29166666666666669</v>
      </c>
      <c r="AE28" s="85">
        <v>0.79166666666666663</v>
      </c>
      <c r="AF28" s="83" t="s">
        <v>43</v>
      </c>
      <c r="AG28" s="84">
        <v>0.29166666666666669</v>
      </c>
      <c r="AH28" s="85"/>
      <c r="AI28" s="83" t="s">
        <v>42</v>
      </c>
      <c r="AJ28" s="84"/>
      <c r="AK28" s="85"/>
      <c r="AL28" s="83" t="s">
        <v>42</v>
      </c>
      <c r="AM28" s="84"/>
      <c r="AN28" s="146">
        <f t="shared" si="13"/>
        <v>36.000000000000007</v>
      </c>
      <c r="AO28" s="82"/>
      <c r="AP28" s="83" t="s">
        <v>42</v>
      </c>
      <c r="AQ28" s="84"/>
      <c r="AR28" s="85">
        <v>0.79166666666666663</v>
      </c>
      <c r="AS28" s="83" t="s">
        <v>43</v>
      </c>
      <c r="AT28" s="84">
        <v>0.29166666666666669</v>
      </c>
      <c r="AU28" s="85"/>
      <c r="AV28" s="83" t="s">
        <v>42</v>
      </c>
      <c r="AW28" s="84"/>
      <c r="AX28" s="85">
        <v>0.79166666666666663</v>
      </c>
      <c r="AY28" s="83" t="s">
        <v>43</v>
      </c>
      <c r="AZ28" s="84">
        <v>0.29166666666666669</v>
      </c>
      <c r="BA28" s="85"/>
      <c r="BB28" s="83" t="s">
        <v>42</v>
      </c>
      <c r="BC28" s="84"/>
      <c r="BD28" s="85">
        <v>0.79166666666666663</v>
      </c>
      <c r="BE28" s="83" t="s">
        <v>43</v>
      </c>
      <c r="BF28" s="84">
        <v>0.29166666666666669</v>
      </c>
      <c r="BG28" s="85">
        <v>0.79166666666666663</v>
      </c>
      <c r="BH28" s="83" t="s">
        <v>43</v>
      </c>
      <c r="BI28" s="84">
        <v>0.29166666666666669</v>
      </c>
      <c r="BJ28" s="146">
        <f t="shared" si="29"/>
        <v>48.000000000000007</v>
      </c>
      <c r="BK28" s="146">
        <f t="shared" si="30"/>
        <v>84.000000000000014</v>
      </c>
      <c r="BL28" s="147"/>
      <c r="BM28" s="147"/>
      <c r="BN28" s="147"/>
      <c r="BP28" s="153">
        <v>0.29166666666666669</v>
      </c>
      <c r="BQ28" s="150" t="s">
        <v>43</v>
      </c>
      <c r="BR28" s="151">
        <v>0.625</v>
      </c>
      <c r="BS28" s="149">
        <v>0.29166666666666669</v>
      </c>
      <c r="BT28" s="150" t="s">
        <v>43</v>
      </c>
      <c r="BU28" s="151">
        <v>0.625</v>
      </c>
      <c r="BV28" s="149">
        <v>0.29166666666666669</v>
      </c>
      <c r="BW28" s="150" t="s">
        <v>43</v>
      </c>
      <c r="BX28" s="151">
        <v>0.625</v>
      </c>
      <c r="BY28" s="149">
        <v>0.29166666666666669</v>
      </c>
      <c r="BZ28" s="150" t="s">
        <v>43</v>
      </c>
      <c r="CA28" s="151">
        <v>0.625</v>
      </c>
      <c r="CB28" s="149"/>
      <c r="CC28" s="150" t="s">
        <v>42</v>
      </c>
      <c r="CD28" s="151"/>
      <c r="CE28" s="149">
        <v>0.29166666666666669</v>
      </c>
      <c r="CF28" s="150" t="s">
        <v>43</v>
      </c>
      <c r="CG28" s="151">
        <v>0.625</v>
      </c>
      <c r="CH28" s="149"/>
      <c r="CI28" s="150" t="s">
        <v>42</v>
      </c>
      <c r="CJ28" s="151"/>
      <c r="CK28" s="138">
        <v>13</v>
      </c>
      <c r="CL28" s="138">
        <v>1</v>
      </c>
    </row>
    <row r="29" spans="1:90" s="148" customFormat="1" ht="24.95" customHeight="1" x14ac:dyDescent="0.25">
      <c r="A29" s="137"/>
      <c r="B29" s="137"/>
      <c r="C29" s="137">
        <v>26</v>
      </c>
      <c r="D29" s="138"/>
      <c r="E29" s="138"/>
      <c r="F29" s="139">
        <f t="shared" si="16"/>
        <v>0.99998842592592596</v>
      </c>
      <c r="G29" s="139">
        <f t="shared" si="17"/>
        <v>0</v>
      </c>
      <c r="H29" s="140">
        <f t="shared" si="18"/>
        <v>-0.99998842592592596</v>
      </c>
      <c r="I29" s="141">
        <f t="shared" si="19"/>
        <v>0</v>
      </c>
      <c r="J29" s="141">
        <f t="shared" si="20"/>
        <v>14</v>
      </c>
      <c r="K29" s="141">
        <f t="shared" si="21"/>
        <v>0</v>
      </c>
      <c r="L29" s="141" t="e">
        <f t="shared" si="22"/>
        <v>#N/A</v>
      </c>
      <c r="M29" s="141" t="e">
        <f t="shared" si="23"/>
        <v>#N/A</v>
      </c>
      <c r="N29" s="141" t="e">
        <f t="shared" si="24"/>
        <v>#N/A</v>
      </c>
      <c r="O29" s="142" t="e">
        <f t="shared" si="25"/>
        <v>#N/A</v>
      </c>
      <c r="P29" s="137">
        <f t="shared" si="26"/>
        <v>0</v>
      </c>
      <c r="Q29" s="137">
        <f t="shared" si="27"/>
        <v>0</v>
      </c>
      <c r="R29" s="137" t="e">
        <f t="shared" si="28"/>
        <v>#N/A</v>
      </c>
      <c r="S29" s="82"/>
      <c r="T29" s="83"/>
      <c r="U29" s="84"/>
      <c r="V29" s="85"/>
      <c r="W29" s="83"/>
      <c r="X29" s="84"/>
      <c r="Y29" s="85"/>
      <c r="Z29" s="83"/>
      <c r="AA29" s="84"/>
      <c r="AB29" s="85"/>
      <c r="AC29" s="83"/>
      <c r="AD29" s="84"/>
      <c r="AE29" s="85"/>
      <c r="AF29" s="83"/>
      <c r="AG29" s="84"/>
      <c r="AH29" s="85"/>
      <c r="AI29" s="83"/>
      <c r="AJ29" s="84"/>
      <c r="AK29" s="85"/>
      <c r="AL29" s="83"/>
      <c r="AM29" s="84"/>
      <c r="AN29" s="146">
        <f t="shared" si="13"/>
        <v>0</v>
      </c>
      <c r="AO29" s="82"/>
      <c r="AP29" s="83"/>
      <c r="AQ29" s="84"/>
      <c r="AR29" s="85"/>
      <c r="AS29" s="83"/>
      <c r="AT29" s="84"/>
      <c r="AU29" s="85"/>
      <c r="AV29" s="83"/>
      <c r="AW29" s="84"/>
      <c r="AX29" s="85"/>
      <c r="AY29" s="83"/>
      <c r="AZ29" s="84"/>
      <c r="BA29" s="85"/>
      <c r="BB29" s="83"/>
      <c r="BC29" s="84"/>
      <c r="BD29" s="85"/>
      <c r="BE29" s="83"/>
      <c r="BF29" s="84"/>
      <c r="BG29" s="85"/>
      <c r="BH29" s="83"/>
      <c r="BI29" s="84"/>
      <c r="BJ29" s="146">
        <f t="shared" si="29"/>
        <v>0</v>
      </c>
      <c r="BK29" s="146">
        <f t="shared" si="30"/>
        <v>0</v>
      </c>
      <c r="BL29" s="147"/>
      <c r="BM29" s="147"/>
      <c r="BN29" s="147"/>
      <c r="BP29" s="153">
        <v>0.625</v>
      </c>
      <c r="BQ29" s="150" t="s">
        <v>43</v>
      </c>
      <c r="BR29" s="151">
        <v>0.95833333333333337</v>
      </c>
      <c r="BS29" s="149">
        <v>0.625</v>
      </c>
      <c r="BT29" s="150" t="s">
        <v>43</v>
      </c>
      <c r="BU29" s="151">
        <v>0.95833333333333337</v>
      </c>
      <c r="BV29" s="149">
        <v>0.625</v>
      </c>
      <c r="BW29" s="150" t="s">
        <v>43</v>
      </c>
      <c r="BX29" s="151">
        <v>0.95833333333333337</v>
      </c>
      <c r="BY29" s="149"/>
      <c r="BZ29" s="150" t="s">
        <v>42</v>
      </c>
      <c r="CA29" s="151"/>
      <c r="CB29" s="149">
        <v>0.625</v>
      </c>
      <c r="CC29" s="150" t="s">
        <v>43</v>
      </c>
      <c r="CD29" s="151">
        <v>0.95833333333333337</v>
      </c>
      <c r="CE29" s="149">
        <v>0.625</v>
      </c>
      <c r="CF29" s="150" t="s">
        <v>43</v>
      </c>
      <c r="CG29" s="151">
        <v>0.95833333333333337</v>
      </c>
      <c r="CH29" s="149"/>
      <c r="CI29" s="150" t="s">
        <v>42</v>
      </c>
      <c r="CJ29" s="151"/>
      <c r="CK29" s="138">
        <v>14</v>
      </c>
      <c r="CL29" s="138">
        <v>2</v>
      </c>
    </row>
    <row r="30" spans="1:90" s="148" customFormat="1" ht="24.95" customHeight="1" x14ac:dyDescent="0.25">
      <c r="A30" s="137"/>
      <c r="B30" s="137"/>
      <c r="C30" s="137">
        <v>28</v>
      </c>
      <c r="D30" s="138"/>
      <c r="E30" s="138"/>
      <c r="F30" s="139">
        <f t="shared" si="16"/>
        <v>0.99998842592592596</v>
      </c>
      <c r="G30" s="139">
        <f t="shared" si="17"/>
        <v>0</v>
      </c>
      <c r="H30" s="140">
        <f t="shared" si="18"/>
        <v>-0.99998842592592596</v>
      </c>
      <c r="I30" s="141">
        <f t="shared" si="19"/>
        <v>0</v>
      </c>
      <c r="J30" s="141">
        <f t="shared" si="20"/>
        <v>14</v>
      </c>
      <c r="K30" s="141">
        <f t="shared" si="21"/>
        <v>0</v>
      </c>
      <c r="L30" s="141" t="e">
        <f t="shared" si="22"/>
        <v>#N/A</v>
      </c>
      <c r="M30" s="141" t="e">
        <f t="shared" si="23"/>
        <v>#N/A</v>
      </c>
      <c r="N30" s="141" t="e">
        <f t="shared" si="24"/>
        <v>#N/A</v>
      </c>
      <c r="O30" s="142" t="e">
        <f t="shared" si="25"/>
        <v>#N/A</v>
      </c>
      <c r="P30" s="137">
        <f t="shared" si="26"/>
        <v>0</v>
      </c>
      <c r="Q30" s="137">
        <f t="shared" si="27"/>
        <v>0</v>
      </c>
      <c r="R30" s="137" t="e">
        <f t="shared" si="28"/>
        <v>#N/A</v>
      </c>
      <c r="S30" s="82"/>
      <c r="T30" s="83"/>
      <c r="U30" s="84"/>
      <c r="V30" s="85"/>
      <c r="W30" s="83"/>
      <c r="X30" s="84"/>
      <c r="Y30" s="85"/>
      <c r="Z30" s="83"/>
      <c r="AA30" s="84"/>
      <c r="AB30" s="85"/>
      <c r="AC30" s="83"/>
      <c r="AD30" s="84"/>
      <c r="AE30" s="85"/>
      <c r="AF30" s="83"/>
      <c r="AG30" s="84"/>
      <c r="AH30" s="85"/>
      <c r="AI30" s="83"/>
      <c r="AJ30" s="84"/>
      <c r="AK30" s="85"/>
      <c r="AL30" s="83"/>
      <c r="AM30" s="84"/>
      <c r="AN30" s="146">
        <f t="shared" si="13"/>
        <v>0</v>
      </c>
      <c r="AO30" s="82"/>
      <c r="AP30" s="83"/>
      <c r="AQ30" s="84"/>
      <c r="AR30" s="85"/>
      <c r="AS30" s="83"/>
      <c r="AT30" s="84"/>
      <c r="AU30" s="85"/>
      <c r="AV30" s="83"/>
      <c r="AW30" s="84"/>
      <c r="AX30" s="85"/>
      <c r="AY30" s="83"/>
      <c r="AZ30" s="84"/>
      <c r="BA30" s="85"/>
      <c r="BB30" s="83"/>
      <c r="BC30" s="84"/>
      <c r="BD30" s="85"/>
      <c r="BE30" s="83"/>
      <c r="BF30" s="84"/>
      <c r="BG30" s="85"/>
      <c r="BH30" s="83"/>
      <c r="BI30" s="84"/>
      <c r="BJ30" s="146">
        <f t="shared" si="29"/>
        <v>0</v>
      </c>
      <c r="BK30" s="146">
        <f t="shared" si="30"/>
        <v>0</v>
      </c>
      <c r="BL30" s="147"/>
      <c r="BM30" s="147"/>
      <c r="BN30" s="147"/>
      <c r="BP30" s="153"/>
      <c r="BQ30" s="150" t="s">
        <v>42</v>
      </c>
      <c r="BR30" s="151"/>
      <c r="BS30" s="149">
        <v>0.625</v>
      </c>
      <c r="BT30" s="150" t="s">
        <v>43</v>
      </c>
      <c r="BU30" s="151">
        <v>0.95833333333333337</v>
      </c>
      <c r="BV30" s="149">
        <v>0.625</v>
      </c>
      <c r="BW30" s="150" t="s">
        <v>43</v>
      </c>
      <c r="BX30" s="151">
        <v>0.95833333333333337</v>
      </c>
      <c r="BY30" s="149">
        <v>0.625</v>
      </c>
      <c r="BZ30" s="150" t="s">
        <v>43</v>
      </c>
      <c r="CA30" s="151">
        <v>0.95833333333333337</v>
      </c>
      <c r="CB30" s="149">
        <v>0.625</v>
      </c>
      <c r="CC30" s="150" t="s">
        <v>43</v>
      </c>
      <c r="CD30" s="151">
        <v>0.95833333333333337</v>
      </c>
      <c r="CE30" s="149">
        <v>0.625</v>
      </c>
      <c r="CF30" s="150" t="s">
        <v>43</v>
      </c>
      <c r="CG30" s="151">
        <v>0.95833333333333337</v>
      </c>
      <c r="CH30" s="149"/>
      <c r="CI30" s="150" t="s">
        <v>42</v>
      </c>
      <c r="CJ30" s="151"/>
      <c r="CK30" s="138">
        <v>15</v>
      </c>
      <c r="CL30" s="138">
        <v>2</v>
      </c>
    </row>
    <row r="31" spans="1:90" s="148" customFormat="1" ht="24.95" customHeight="1" x14ac:dyDescent="0.25">
      <c r="A31" s="137"/>
      <c r="B31" s="137"/>
      <c r="C31" s="137">
        <v>29</v>
      </c>
      <c r="D31" s="138"/>
      <c r="E31" s="138"/>
      <c r="F31" s="139">
        <f t="shared" si="0"/>
        <v>0.99998842592592596</v>
      </c>
      <c r="G31" s="139">
        <f t="shared" si="8"/>
        <v>0</v>
      </c>
      <c r="H31" s="140">
        <f t="shared" si="9"/>
        <v>-0.99998842592592596</v>
      </c>
      <c r="I31" s="141">
        <f t="shared" si="10"/>
        <v>0</v>
      </c>
      <c r="J31" s="141">
        <f t="shared" si="11"/>
        <v>14</v>
      </c>
      <c r="K31" s="141">
        <f t="shared" si="12"/>
        <v>0</v>
      </c>
      <c r="L31" s="141" t="e">
        <f t="shared" si="1"/>
        <v>#N/A</v>
      </c>
      <c r="M31" s="141" t="e">
        <f t="shared" si="2"/>
        <v>#N/A</v>
      </c>
      <c r="N31" s="141" t="e">
        <f t="shared" si="3"/>
        <v>#N/A</v>
      </c>
      <c r="O31" s="142" t="e">
        <f t="shared" si="4"/>
        <v>#N/A</v>
      </c>
      <c r="P31" s="137">
        <f t="shared" si="5"/>
        <v>0</v>
      </c>
      <c r="Q31" s="137">
        <f t="shared" si="6"/>
        <v>0</v>
      </c>
      <c r="R31" s="137" t="e">
        <f t="shared" si="7"/>
        <v>#N/A</v>
      </c>
      <c r="S31" s="82"/>
      <c r="T31" s="83"/>
      <c r="U31" s="84"/>
      <c r="V31" s="85"/>
      <c r="W31" s="83"/>
      <c r="X31" s="84"/>
      <c r="Y31" s="85"/>
      <c r="Z31" s="83"/>
      <c r="AA31" s="84"/>
      <c r="AB31" s="85"/>
      <c r="AC31" s="83"/>
      <c r="AD31" s="84"/>
      <c r="AE31" s="85"/>
      <c r="AF31" s="83"/>
      <c r="AG31" s="84"/>
      <c r="AH31" s="85"/>
      <c r="AI31" s="83"/>
      <c r="AJ31" s="84"/>
      <c r="AK31" s="85"/>
      <c r="AL31" s="83"/>
      <c r="AM31" s="84"/>
      <c r="AN31" s="146">
        <f t="shared" si="13"/>
        <v>0</v>
      </c>
      <c r="AO31" s="82"/>
      <c r="AP31" s="83"/>
      <c r="AQ31" s="84"/>
      <c r="AR31" s="85"/>
      <c r="AS31" s="83"/>
      <c r="AT31" s="84"/>
      <c r="AU31" s="85"/>
      <c r="AV31" s="83"/>
      <c r="AW31" s="84"/>
      <c r="AX31" s="85"/>
      <c r="AY31" s="83"/>
      <c r="AZ31" s="84"/>
      <c r="BA31" s="85"/>
      <c r="BB31" s="83"/>
      <c r="BC31" s="84"/>
      <c r="BD31" s="85"/>
      <c r="BE31" s="83"/>
      <c r="BF31" s="84"/>
      <c r="BG31" s="85"/>
      <c r="BH31" s="83"/>
      <c r="BI31" s="84"/>
      <c r="BJ31" s="146">
        <f t="shared" si="14"/>
        <v>0</v>
      </c>
      <c r="BK31" s="146">
        <f t="shared" si="15"/>
        <v>0</v>
      </c>
      <c r="BL31" s="147"/>
      <c r="BM31" s="147"/>
      <c r="BN31" s="147"/>
      <c r="BP31" s="153"/>
      <c r="BQ31" s="150" t="s">
        <v>42</v>
      </c>
      <c r="BR31" s="151"/>
      <c r="BS31" s="149">
        <v>0.625</v>
      </c>
      <c r="BT31" s="150" t="s">
        <v>43</v>
      </c>
      <c r="BU31" s="151">
        <v>0.95833333333333337</v>
      </c>
      <c r="BV31" s="149">
        <v>0.625</v>
      </c>
      <c r="BW31" s="150" t="s">
        <v>43</v>
      </c>
      <c r="BX31" s="151">
        <v>0.95833333333333337</v>
      </c>
      <c r="BY31" s="149">
        <v>0.625</v>
      </c>
      <c r="BZ31" s="150" t="s">
        <v>43</v>
      </c>
      <c r="CA31" s="151">
        <v>0.95833333333333337</v>
      </c>
      <c r="CB31" s="149">
        <v>0.625</v>
      </c>
      <c r="CC31" s="150" t="s">
        <v>43</v>
      </c>
      <c r="CD31" s="151">
        <v>0.95833333333333337</v>
      </c>
      <c r="CE31" s="149">
        <v>0.625</v>
      </c>
      <c r="CF31" s="150" t="s">
        <v>43</v>
      </c>
      <c r="CG31" s="151">
        <v>0.95833333333333337</v>
      </c>
      <c r="CH31" s="149"/>
      <c r="CI31" s="150" t="s">
        <v>42</v>
      </c>
      <c r="CJ31" s="151"/>
      <c r="CK31" s="138">
        <v>15</v>
      </c>
      <c r="CL31" s="138">
        <v>1</v>
      </c>
    </row>
    <row r="32" spans="1:90" s="148" customFormat="1" ht="24.95" customHeight="1" x14ac:dyDescent="0.25">
      <c r="A32" s="137"/>
      <c r="B32" s="137"/>
      <c r="C32" s="137">
        <v>31</v>
      </c>
      <c r="D32" s="138"/>
      <c r="E32" s="138"/>
      <c r="F32" s="139">
        <f t="shared" si="0"/>
        <v>0.99998842592592596</v>
      </c>
      <c r="G32" s="139">
        <f t="shared" si="8"/>
        <v>0</v>
      </c>
      <c r="H32" s="140">
        <f t="shared" si="9"/>
        <v>-0.99998842592592596</v>
      </c>
      <c r="I32" s="141">
        <f t="shared" si="10"/>
        <v>0</v>
      </c>
      <c r="J32" s="141">
        <f t="shared" si="11"/>
        <v>14</v>
      </c>
      <c r="K32" s="141">
        <f t="shared" si="12"/>
        <v>0</v>
      </c>
      <c r="L32" s="141" t="e">
        <f t="shared" si="1"/>
        <v>#N/A</v>
      </c>
      <c r="M32" s="141" t="e">
        <f t="shared" si="2"/>
        <v>#N/A</v>
      </c>
      <c r="N32" s="141" t="e">
        <f t="shared" si="3"/>
        <v>#N/A</v>
      </c>
      <c r="O32" s="142" t="e">
        <f t="shared" si="4"/>
        <v>#N/A</v>
      </c>
      <c r="P32" s="137">
        <f t="shared" si="5"/>
        <v>0</v>
      </c>
      <c r="Q32" s="137">
        <f t="shared" si="6"/>
        <v>0</v>
      </c>
      <c r="R32" s="137" t="e">
        <f t="shared" si="7"/>
        <v>#N/A</v>
      </c>
      <c r="S32" s="82"/>
      <c r="T32" s="83"/>
      <c r="U32" s="84"/>
      <c r="V32" s="85"/>
      <c r="W32" s="83"/>
      <c r="X32" s="84"/>
      <c r="Y32" s="85"/>
      <c r="Z32" s="83"/>
      <c r="AA32" s="84"/>
      <c r="AB32" s="85"/>
      <c r="AC32" s="83"/>
      <c r="AD32" s="84"/>
      <c r="AE32" s="85"/>
      <c r="AF32" s="83"/>
      <c r="AG32" s="84"/>
      <c r="AH32" s="85"/>
      <c r="AI32" s="83"/>
      <c r="AJ32" s="84"/>
      <c r="AK32" s="85"/>
      <c r="AL32" s="83"/>
      <c r="AM32" s="84"/>
      <c r="AN32" s="146">
        <f t="shared" si="13"/>
        <v>0</v>
      </c>
      <c r="AO32" s="82"/>
      <c r="AP32" s="83"/>
      <c r="AQ32" s="84"/>
      <c r="AR32" s="85"/>
      <c r="AS32" s="83"/>
      <c r="AT32" s="84"/>
      <c r="AU32" s="85"/>
      <c r="AV32" s="83"/>
      <c r="AW32" s="84"/>
      <c r="AX32" s="85"/>
      <c r="AY32" s="83"/>
      <c r="AZ32" s="84"/>
      <c r="BA32" s="85"/>
      <c r="BB32" s="83"/>
      <c r="BC32" s="84"/>
      <c r="BD32" s="85"/>
      <c r="BE32" s="83"/>
      <c r="BF32" s="84"/>
      <c r="BG32" s="85"/>
      <c r="BH32" s="83"/>
      <c r="BI32" s="84"/>
      <c r="BJ32" s="146">
        <f t="shared" si="14"/>
        <v>0</v>
      </c>
      <c r="BK32" s="146">
        <f t="shared" si="15"/>
        <v>0</v>
      </c>
      <c r="BL32" s="147"/>
      <c r="BM32" s="147"/>
      <c r="BN32" s="147"/>
      <c r="BP32" s="153"/>
      <c r="BQ32" s="150" t="s">
        <v>42</v>
      </c>
      <c r="BR32" s="151"/>
      <c r="BS32" s="149"/>
      <c r="BT32" s="150" t="s">
        <v>42</v>
      </c>
      <c r="BU32" s="151"/>
      <c r="BV32" s="149"/>
      <c r="BW32" s="150" t="s">
        <v>42</v>
      </c>
      <c r="BX32" s="151"/>
      <c r="BY32" s="149">
        <v>0.79166666666666663</v>
      </c>
      <c r="BZ32" s="150" t="s">
        <v>43</v>
      </c>
      <c r="CA32" s="151">
        <v>1.2916666666666665</v>
      </c>
      <c r="CB32" s="149"/>
      <c r="CC32" s="150" t="s">
        <v>42</v>
      </c>
      <c r="CD32" s="151"/>
      <c r="CE32" s="149">
        <v>0.79166666666666663</v>
      </c>
      <c r="CF32" s="150" t="s">
        <v>43</v>
      </c>
      <c r="CG32" s="151">
        <v>1.2916666666666665</v>
      </c>
      <c r="CH32" s="149">
        <v>0.79166666666666663</v>
      </c>
      <c r="CI32" s="150" t="s">
        <v>43</v>
      </c>
      <c r="CJ32" s="151">
        <v>1.2916666666666665</v>
      </c>
      <c r="CK32" s="138">
        <v>16</v>
      </c>
      <c r="CL32" s="138">
        <v>1</v>
      </c>
    </row>
    <row r="33" spans="1:90" s="148" customFormat="1" ht="24.95" customHeight="1" x14ac:dyDescent="0.25">
      <c r="A33" s="137"/>
      <c r="B33" s="137"/>
      <c r="C33" s="137">
        <v>32</v>
      </c>
      <c r="D33" s="138"/>
      <c r="E33" s="138"/>
      <c r="F33" s="139">
        <f t="shared" si="0"/>
        <v>0.99998842592592596</v>
      </c>
      <c r="G33" s="139">
        <f t="shared" si="8"/>
        <v>0</v>
      </c>
      <c r="H33" s="140">
        <f t="shared" si="9"/>
        <v>-0.99998842592592596</v>
      </c>
      <c r="I33" s="141">
        <f t="shared" si="10"/>
        <v>0</v>
      </c>
      <c r="J33" s="141">
        <f t="shared" si="11"/>
        <v>14</v>
      </c>
      <c r="K33" s="141">
        <f t="shared" si="12"/>
        <v>0</v>
      </c>
      <c r="L33" s="141" t="e">
        <f t="shared" si="1"/>
        <v>#N/A</v>
      </c>
      <c r="M33" s="141" t="e">
        <f t="shared" si="2"/>
        <v>#N/A</v>
      </c>
      <c r="N33" s="141" t="e">
        <f t="shared" si="3"/>
        <v>#N/A</v>
      </c>
      <c r="O33" s="142" t="e">
        <f t="shared" si="4"/>
        <v>#N/A</v>
      </c>
      <c r="P33" s="137">
        <f t="shared" si="5"/>
        <v>0</v>
      </c>
      <c r="Q33" s="137">
        <f t="shared" si="6"/>
        <v>0</v>
      </c>
      <c r="R33" s="137" t="e">
        <f>VLOOKUP(B33,Tour_Type_Labels,2)</f>
        <v>#N/A</v>
      </c>
      <c r="S33" s="82"/>
      <c r="T33" s="83"/>
      <c r="U33" s="84"/>
      <c r="V33" s="85"/>
      <c r="W33" s="83"/>
      <c r="X33" s="84"/>
      <c r="Y33" s="85"/>
      <c r="Z33" s="83"/>
      <c r="AA33" s="84"/>
      <c r="AB33" s="85"/>
      <c r="AC33" s="83"/>
      <c r="AD33" s="84"/>
      <c r="AE33" s="85"/>
      <c r="AF33" s="83"/>
      <c r="AG33" s="84"/>
      <c r="AH33" s="85"/>
      <c r="AI33" s="83"/>
      <c r="AJ33" s="84"/>
      <c r="AK33" s="85"/>
      <c r="AL33" s="83"/>
      <c r="AM33" s="84"/>
      <c r="AN33" s="146">
        <f t="shared" si="13"/>
        <v>0</v>
      </c>
      <c r="AO33" s="82"/>
      <c r="AP33" s="83"/>
      <c r="AQ33" s="84"/>
      <c r="AR33" s="85"/>
      <c r="AS33" s="83"/>
      <c r="AT33" s="84"/>
      <c r="AU33" s="85"/>
      <c r="AV33" s="83"/>
      <c r="AW33" s="84"/>
      <c r="AX33" s="85"/>
      <c r="AY33" s="83"/>
      <c r="AZ33" s="84"/>
      <c r="BA33" s="85"/>
      <c r="BB33" s="83"/>
      <c r="BC33" s="84"/>
      <c r="BD33" s="85"/>
      <c r="BE33" s="83"/>
      <c r="BF33" s="84"/>
      <c r="BG33" s="85"/>
      <c r="BH33" s="83"/>
      <c r="BI33" s="84"/>
      <c r="BJ33" s="146">
        <f t="shared" si="14"/>
        <v>0</v>
      </c>
      <c r="BK33" s="146">
        <f t="shared" si="15"/>
        <v>0</v>
      </c>
      <c r="BL33" s="147"/>
      <c r="BM33" s="147"/>
      <c r="BN33" s="147"/>
      <c r="BP33" s="153">
        <v>0.79166666666666663</v>
      </c>
      <c r="BQ33" s="150" t="s">
        <v>43</v>
      </c>
      <c r="BR33" s="151">
        <v>1.2916666666666665</v>
      </c>
      <c r="BS33" s="149"/>
      <c r="BT33" s="150" t="s">
        <v>42</v>
      </c>
      <c r="BU33" s="151"/>
      <c r="BV33" s="149">
        <v>0.79166666666666663</v>
      </c>
      <c r="BW33" s="150" t="s">
        <v>43</v>
      </c>
      <c r="BX33" s="151">
        <v>1.2916666666666665</v>
      </c>
      <c r="BY33" s="149"/>
      <c r="BZ33" s="144" t="s">
        <v>42</v>
      </c>
      <c r="CA33" s="151"/>
      <c r="CB33" s="149">
        <v>0.79166666666666663</v>
      </c>
      <c r="CC33" s="150" t="s">
        <v>43</v>
      </c>
      <c r="CD33" s="151">
        <v>1.2916666666666665</v>
      </c>
      <c r="CE33" s="149"/>
      <c r="CF33" s="150" t="s">
        <v>42</v>
      </c>
      <c r="CG33" s="151"/>
      <c r="CH33" s="149"/>
      <c r="CI33" s="150" t="s">
        <v>42</v>
      </c>
      <c r="CJ33" s="151"/>
      <c r="CK33" s="138">
        <v>17</v>
      </c>
      <c r="CL33" s="138">
        <v>2</v>
      </c>
    </row>
    <row r="34" spans="1:90" s="148" customFormat="1" ht="24.95" customHeight="1" x14ac:dyDescent="0.25">
      <c r="A34" s="137"/>
      <c r="B34" s="137"/>
      <c r="C34" s="137">
        <v>33</v>
      </c>
      <c r="D34" s="138"/>
      <c r="E34" s="138"/>
      <c r="F34" s="139">
        <f t="shared" si="0"/>
        <v>0.99998842592592596</v>
      </c>
      <c r="G34" s="139">
        <f t="shared" si="8"/>
        <v>0</v>
      </c>
      <c r="H34" s="140">
        <f t="shared" si="9"/>
        <v>-0.99998842592592596</v>
      </c>
      <c r="I34" s="141">
        <f t="shared" si="10"/>
        <v>0</v>
      </c>
      <c r="J34" s="141">
        <f t="shared" si="11"/>
        <v>14</v>
      </c>
      <c r="K34" s="141">
        <f t="shared" si="12"/>
        <v>0</v>
      </c>
      <c r="L34" s="141" t="e">
        <f t="shared" si="1"/>
        <v>#N/A</v>
      </c>
      <c r="M34" s="141" t="e">
        <f t="shared" si="2"/>
        <v>#N/A</v>
      </c>
      <c r="N34" s="141" t="e">
        <f t="shared" si="3"/>
        <v>#N/A</v>
      </c>
      <c r="O34" s="142" t="e">
        <f t="shared" si="4"/>
        <v>#N/A</v>
      </c>
      <c r="P34" s="137">
        <f t="shared" si="5"/>
        <v>0</v>
      </c>
      <c r="Q34" s="137">
        <f t="shared" si="6"/>
        <v>0</v>
      </c>
      <c r="R34" s="137" t="e">
        <f t="shared" si="7"/>
        <v>#N/A</v>
      </c>
      <c r="S34" s="82"/>
      <c r="T34" s="83"/>
      <c r="U34" s="84"/>
      <c r="V34" s="85"/>
      <c r="W34" s="83"/>
      <c r="X34" s="84"/>
      <c r="Y34" s="85"/>
      <c r="Z34" s="83"/>
      <c r="AA34" s="84"/>
      <c r="AB34" s="85"/>
      <c r="AC34" s="83"/>
      <c r="AD34" s="84"/>
      <c r="AE34" s="85"/>
      <c r="AF34" s="83"/>
      <c r="AG34" s="84"/>
      <c r="AH34" s="85"/>
      <c r="AI34" s="83"/>
      <c r="AJ34" s="84"/>
      <c r="AK34" s="85"/>
      <c r="AL34" s="83"/>
      <c r="AM34" s="84"/>
      <c r="AN34" s="146">
        <f t="shared" si="13"/>
        <v>0</v>
      </c>
      <c r="AO34" s="82"/>
      <c r="AP34" s="83"/>
      <c r="AQ34" s="84"/>
      <c r="AR34" s="85"/>
      <c r="AS34" s="83"/>
      <c r="AT34" s="84"/>
      <c r="AU34" s="85"/>
      <c r="AV34" s="83"/>
      <c r="AW34" s="84"/>
      <c r="AX34" s="85"/>
      <c r="AY34" s="83"/>
      <c r="AZ34" s="84"/>
      <c r="BA34" s="85"/>
      <c r="BB34" s="83"/>
      <c r="BC34" s="84"/>
      <c r="BD34" s="85"/>
      <c r="BE34" s="83"/>
      <c r="BF34" s="84"/>
      <c r="BG34" s="85"/>
      <c r="BH34" s="83"/>
      <c r="BI34" s="84"/>
      <c r="BJ34" s="146">
        <f>TourHours(AO34:BI34,0)</f>
        <v>0</v>
      </c>
      <c r="BK34" s="146">
        <f>BJ34+AN34</f>
        <v>0</v>
      </c>
      <c r="BL34" s="147"/>
      <c r="BM34" s="147"/>
      <c r="BN34" s="147"/>
      <c r="BP34" s="153"/>
      <c r="BQ34" s="150" t="s">
        <v>42</v>
      </c>
      <c r="BR34" s="151"/>
      <c r="BS34" s="149">
        <v>0.79166666666666663</v>
      </c>
      <c r="BT34" s="150" t="s">
        <v>43</v>
      </c>
      <c r="BU34" s="151">
        <v>1.2916666666666665</v>
      </c>
      <c r="BV34" s="149"/>
      <c r="BW34" s="150" t="s">
        <v>42</v>
      </c>
      <c r="BX34" s="151"/>
      <c r="BY34" s="149"/>
      <c r="BZ34" s="150" t="s">
        <v>42</v>
      </c>
      <c r="CA34" s="151"/>
      <c r="CB34" s="149"/>
      <c r="CC34" s="150" t="s">
        <v>42</v>
      </c>
      <c r="CD34" s="151"/>
      <c r="CE34" s="149">
        <v>0.79166666666666663</v>
      </c>
      <c r="CF34" s="150" t="s">
        <v>43</v>
      </c>
      <c r="CG34" s="151">
        <v>1.2916666666666665</v>
      </c>
      <c r="CH34" s="149">
        <v>0.79166666666666663</v>
      </c>
      <c r="CI34" s="150" t="s">
        <v>43</v>
      </c>
      <c r="CJ34" s="151">
        <v>1.2916666666666665</v>
      </c>
      <c r="CK34" s="138">
        <v>17</v>
      </c>
      <c r="CL34" s="138">
        <v>1</v>
      </c>
    </row>
    <row r="35" spans="1:90" s="148" customFormat="1" ht="24.95" customHeight="1" x14ac:dyDescent="0.25">
      <c r="A35" s="137"/>
      <c r="B35" s="137"/>
      <c r="C35" s="137">
        <v>34</v>
      </c>
      <c r="D35" s="138"/>
      <c r="E35" s="138"/>
      <c r="F35" s="139">
        <f t="shared" si="0"/>
        <v>0.99998842592592596</v>
      </c>
      <c r="G35" s="139">
        <f t="shared" si="8"/>
        <v>0</v>
      </c>
      <c r="H35" s="140">
        <f t="shared" si="9"/>
        <v>-0.99998842592592596</v>
      </c>
      <c r="I35" s="141">
        <f t="shared" si="10"/>
        <v>0</v>
      </c>
      <c r="J35" s="141">
        <f t="shared" si="11"/>
        <v>14</v>
      </c>
      <c r="K35" s="141">
        <f t="shared" si="12"/>
        <v>0</v>
      </c>
      <c r="L35" s="141" t="e">
        <f t="shared" si="1"/>
        <v>#N/A</v>
      </c>
      <c r="M35" s="141" t="e">
        <f t="shared" si="2"/>
        <v>#N/A</v>
      </c>
      <c r="N35" s="141" t="e">
        <f t="shared" si="3"/>
        <v>#N/A</v>
      </c>
      <c r="O35" s="142" t="e">
        <f t="shared" si="4"/>
        <v>#N/A</v>
      </c>
      <c r="P35" s="137">
        <f t="shared" si="5"/>
        <v>0</v>
      </c>
      <c r="Q35" s="137">
        <f t="shared" si="6"/>
        <v>0</v>
      </c>
      <c r="R35" s="137" t="e">
        <f t="shared" si="7"/>
        <v>#N/A</v>
      </c>
      <c r="S35" s="82"/>
      <c r="T35" s="83"/>
      <c r="U35" s="84"/>
      <c r="V35" s="85"/>
      <c r="W35" s="83"/>
      <c r="X35" s="84"/>
      <c r="Y35" s="85"/>
      <c r="Z35" s="83"/>
      <c r="AA35" s="84"/>
      <c r="AB35" s="85"/>
      <c r="AC35" s="83"/>
      <c r="AD35" s="84"/>
      <c r="AE35" s="85"/>
      <c r="AF35" s="83"/>
      <c r="AG35" s="84"/>
      <c r="AH35" s="85"/>
      <c r="AI35" s="83"/>
      <c r="AJ35" s="84"/>
      <c r="AK35" s="85"/>
      <c r="AL35" s="83"/>
      <c r="AM35" s="84"/>
      <c r="AN35" s="146">
        <f t="shared" si="13"/>
        <v>0</v>
      </c>
      <c r="AO35" s="82"/>
      <c r="AP35" s="83"/>
      <c r="AQ35" s="84"/>
      <c r="AR35" s="85"/>
      <c r="AS35" s="83"/>
      <c r="AT35" s="84"/>
      <c r="AU35" s="85"/>
      <c r="AV35" s="83"/>
      <c r="AW35" s="84"/>
      <c r="AX35" s="85"/>
      <c r="AY35" s="83"/>
      <c r="AZ35" s="84"/>
      <c r="BA35" s="85"/>
      <c r="BB35" s="83"/>
      <c r="BC35" s="84"/>
      <c r="BD35" s="85"/>
      <c r="BE35" s="83"/>
      <c r="BF35" s="84"/>
      <c r="BG35" s="85"/>
      <c r="BH35" s="83"/>
      <c r="BI35" s="84"/>
      <c r="BJ35" s="146">
        <f t="shared" si="14"/>
        <v>0</v>
      </c>
      <c r="BK35" s="146">
        <f t="shared" si="15"/>
        <v>0</v>
      </c>
      <c r="BL35" s="147"/>
      <c r="BM35" s="147"/>
      <c r="BN35" s="147"/>
      <c r="BP35" s="153">
        <v>0.79166666666666663</v>
      </c>
      <c r="BQ35" s="150" t="s">
        <v>43</v>
      </c>
      <c r="BR35" s="151">
        <v>1.2916666666666665</v>
      </c>
      <c r="BS35" s="149"/>
      <c r="BT35" s="150" t="s">
        <v>42</v>
      </c>
      <c r="BU35" s="151"/>
      <c r="BV35" s="149"/>
      <c r="BW35" s="150" t="s">
        <v>42</v>
      </c>
      <c r="BX35" s="151"/>
      <c r="BY35" s="149">
        <v>0.79166666666666663</v>
      </c>
      <c r="BZ35" s="150" t="s">
        <v>43</v>
      </c>
      <c r="CA35" s="151">
        <v>1.2916666666666665</v>
      </c>
      <c r="CB35" s="149">
        <v>0.79166666666666663</v>
      </c>
      <c r="CC35" s="150" t="s">
        <v>43</v>
      </c>
      <c r="CD35" s="151">
        <v>1.2916666666666665</v>
      </c>
      <c r="CE35" s="149"/>
      <c r="CF35" s="150" t="s">
        <v>42</v>
      </c>
      <c r="CG35" s="151"/>
      <c r="CH35" s="149"/>
      <c r="CI35" s="150" t="s">
        <v>42</v>
      </c>
      <c r="CJ35" s="151"/>
      <c r="CK35" s="138">
        <v>18</v>
      </c>
      <c r="CL35" s="138">
        <v>2</v>
      </c>
    </row>
    <row r="36" spans="1:90" ht="20.100000000000001" customHeight="1" x14ac:dyDescent="0.25">
      <c r="A36" s="129"/>
      <c r="B36" s="24"/>
      <c r="C36" s="137">
        <v>35</v>
      </c>
      <c r="D36" s="138"/>
      <c r="E36" s="138"/>
      <c r="F36" s="139">
        <f t="shared" si="0"/>
        <v>0.99998842592592596</v>
      </c>
      <c r="G36" s="139">
        <f t="shared" si="8"/>
        <v>0</v>
      </c>
      <c r="H36" s="140">
        <f t="shared" si="9"/>
        <v>-0.99998842592592596</v>
      </c>
      <c r="I36" s="141">
        <f t="shared" si="10"/>
        <v>0</v>
      </c>
      <c r="J36" s="141">
        <f t="shared" si="11"/>
        <v>14</v>
      </c>
      <c r="K36" s="141">
        <f t="shared" si="12"/>
        <v>0</v>
      </c>
      <c r="L36" s="141" t="e">
        <f t="shared" si="1"/>
        <v>#N/A</v>
      </c>
      <c r="M36" s="141" t="e">
        <f t="shared" si="2"/>
        <v>#N/A</v>
      </c>
      <c r="N36" s="141" t="e">
        <f t="shared" si="3"/>
        <v>#N/A</v>
      </c>
      <c r="O36" s="142" t="e">
        <f t="shared" si="4"/>
        <v>#N/A</v>
      </c>
      <c r="P36" s="137">
        <f t="shared" si="5"/>
        <v>0</v>
      </c>
      <c r="Q36" s="137">
        <f t="shared" si="6"/>
        <v>0</v>
      </c>
      <c r="R36" s="137" t="e">
        <f t="shared" si="7"/>
        <v>#N/A</v>
      </c>
      <c r="S36" s="82"/>
      <c r="T36" s="83"/>
      <c r="U36" s="84"/>
      <c r="V36" s="85"/>
      <c r="W36" s="83"/>
      <c r="X36" s="84"/>
      <c r="Y36" s="85"/>
      <c r="Z36" s="83"/>
      <c r="AA36" s="84"/>
      <c r="AB36" s="85"/>
      <c r="AC36" s="83"/>
      <c r="AD36" s="84"/>
      <c r="AE36" s="85"/>
      <c r="AF36" s="83"/>
      <c r="AG36" s="84"/>
      <c r="AH36" s="85"/>
      <c r="AI36" s="83"/>
      <c r="AJ36" s="84"/>
      <c r="AK36" s="85"/>
      <c r="AL36" s="83"/>
      <c r="AM36" s="84"/>
      <c r="AN36" s="30">
        <f t="shared" si="13"/>
        <v>0</v>
      </c>
      <c r="AO36" s="82"/>
      <c r="AP36" s="83"/>
      <c r="AQ36" s="84"/>
      <c r="AR36" s="85"/>
      <c r="AS36" s="83"/>
      <c r="AT36" s="84"/>
      <c r="AU36" s="85"/>
      <c r="AV36" s="83"/>
      <c r="AW36" s="84"/>
      <c r="AX36" s="85"/>
      <c r="AY36" s="83"/>
      <c r="AZ36" s="84"/>
      <c r="BA36" s="85"/>
      <c r="BB36" s="83"/>
      <c r="BC36" s="84"/>
      <c r="BD36" s="85"/>
      <c r="BE36" s="83"/>
      <c r="BF36" s="84"/>
      <c r="BG36" s="85"/>
      <c r="BH36" s="83"/>
      <c r="BI36" s="84"/>
      <c r="BJ36" s="30">
        <f t="shared" si="14"/>
        <v>0</v>
      </c>
      <c r="BK36" s="30">
        <f t="shared" si="15"/>
        <v>0</v>
      </c>
      <c r="BL36" s="31"/>
      <c r="BM36" s="114"/>
      <c r="BN36" s="31"/>
      <c r="BP36" s="25"/>
      <c r="BQ36" s="27" t="s">
        <v>42</v>
      </c>
      <c r="BR36" s="28"/>
      <c r="BS36" s="25">
        <v>0.79166666666666663</v>
      </c>
      <c r="BT36" s="27" t="s">
        <v>43</v>
      </c>
      <c r="BU36" s="28">
        <v>1.2916666666666665</v>
      </c>
      <c r="BV36" s="29"/>
      <c r="BW36" s="27" t="s">
        <v>42</v>
      </c>
      <c r="BX36" s="28"/>
      <c r="BY36" s="29"/>
      <c r="BZ36" s="130" t="s">
        <v>42</v>
      </c>
      <c r="CA36" s="28"/>
      <c r="CB36" s="29"/>
      <c r="CC36" s="27" t="s">
        <v>42</v>
      </c>
      <c r="CD36" s="28"/>
      <c r="CE36" s="29">
        <v>0.79166666666666663</v>
      </c>
      <c r="CF36" s="27" t="s">
        <v>43</v>
      </c>
      <c r="CG36" s="28">
        <v>1.2916666666666665</v>
      </c>
      <c r="CH36" s="29">
        <v>0.79166666666666663</v>
      </c>
      <c r="CI36" s="27" t="s">
        <v>43</v>
      </c>
      <c r="CJ36" s="28">
        <v>1.2916666666666665</v>
      </c>
      <c r="CK36" s="133">
        <v>18</v>
      </c>
      <c r="CL36" s="133">
        <v>1</v>
      </c>
    </row>
    <row r="37" spans="1:90" ht="20.100000000000001" customHeight="1" x14ac:dyDescent="0.25">
      <c r="A37" s="129"/>
      <c r="B37" s="24"/>
      <c r="C37" s="137">
        <v>36</v>
      </c>
      <c r="D37" s="138"/>
      <c r="E37" s="138"/>
      <c r="F37" s="139">
        <f t="shared" si="0"/>
        <v>0.99998842592592596</v>
      </c>
      <c r="G37" s="139">
        <f t="shared" si="8"/>
        <v>0</v>
      </c>
      <c r="H37" s="140">
        <f t="shared" si="9"/>
        <v>-0.99998842592592596</v>
      </c>
      <c r="I37" s="141">
        <f t="shared" si="10"/>
        <v>0</v>
      </c>
      <c r="J37" s="141">
        <f t="shared" si="11"/>
        <v>14</v>
      </c>
      <c r="K37" s="141">
        <f t="shared" si="12"/>
        <v>0</v>
      </c>
      <c r="L37" s="141" t="e">
        <f t="shared" si="1"/>
        <v>#N/A</v>
      </c>
      <c r="M37" s="141" t="e">
        <f t="shared" si="2"/>
        <v>#N/A</v>
      </c>
      <c r="N37" s="141" t="e">
        <f t="shared" si="3"/>
        <v>#N/A</v>
      </c>
      <c r="O37" s="142" t="e">
        <f t="shared" si="4"/>
        <v>#N/A</v>
      </c>
      <c r="P37" s="137">
        <f t="shared" si="5"/>
        <v>0</v>
      </c>
      <c r="Q37" s="137">
        <f t="shared" si="6"/>
        <v>0</v>
      </c>
      <c r="R37" s="137" t="e">
        <f t="shared" si="7"/>
        <v>#N/A</v>
      </c>
      <c r="S37" s="82"/>
      <c r="T37" s="83"/>
      <c r="U37" s="84"/>
      <c r="V37" s="85"/>
      <c r="W37" s="83"/>
      <c r="X37" s="84"/>
      <c r="Y37" s="85"/>
      <c r="Z37" s="83"/>
      <c r="AA37" s="84"/>
      <c r="AB37" s="85"/>
      <c r="AC37" s="83"/>
      <c r="AD37" s="84"/>
      <c r="AE37" s="85"/>
      <c r="AF37" s="83"/>
      <c r="AG37" s="84"/>
      <c r="AH37" s="85"/>
      <c r="AI37" s="83"/>
      <c r="AJ37" s="84"/>
      <c r="AK37" s="85"/>
      <c r="AL37" s="83"/>
      <c r="AM37" s="84"/>
      <c r="AN37" s="30">
        <f t="shared" si="13"/>
        <v>0</v>
      </c>
      <c r="AO37" s="82"/>
      <c r="AP37" s="83"/>
      <c r="AQ37" s="84"/>
      <c r="AR37" s="85"/>
      <c r="AS37" s="83"/>
      <c r="AT37" s="84"/>
      <c r="AU37" s="85"/>
      <c r="AV37" s="83"/>
      <c r="AW37" s="84"/>
      <c r="AX37" s="85"/>
      <c r="AY37" s="83"/>
      <c r="AZ37" s="84"/>
      <c r="BA37" s="85"/>
      <c r="BB37" s="83"/>
      <c r="BC37" s="84"/>
      <c r="BD37" s="85"/>
      <c r="BE37" s="83"/>
      <c r="BF37" s="84"/>
      <c r="BG37" s="85"/>
      <c r="BH37" s="83"/>
      <c r="BI37" s="84"/>
      <c r="BJ37" s="30">
        <f t="shared" si="14"/>
        <v>0</v>
      </c>
      <c r="BK37" s="30">
        <f t="shared" si="15"/>
        <v>0</v>
      </c>
      <c r="BL37" s="31"/>
      <c r="BM37" s="114"/>
      <c r="BN37" s="31"/>
      <c r="BP37" s="25"/>
      <c r="BQ37" s="27" t="s">
        <v>42</v>
      </c>
      <c r="BR37" s="28"/>
      <c r="BS37" s="25">
        <v>0.79166666666666663</v>
      </c>
      <c r="BT37" s="27" t="s">
        <v>43</v>
      </c>
      <c r="BU37" s="28">
        <v>1.2916666666666665</v>
      </c>
      <c r="BV37" s="29">
        <v>0.79166666666666663</v>
      </c>
      <c r="BW37" s="27" t="s">
        <v>43</v>
      </c>
      <c r="BX37" s="28">
        <v>1.2916666666666665</v>
      </c>
      <c r="BY37" s="29"/>
      <c r="BZ37" s="27" t="s">
        <v>42</v>
      </c>
      <c r="CA37" s="28"/>
      <c r="CB37" s="29"/>
      <c r="CC37" s="27" t="s">
        <v>42</v>
      </c>
      <c r="CD37" s="28"/>
      <c r="CE37" s="29"/>
      <c r="CF37" s="27" t="s">
        <v>42</v>
      </c>
      <c r="CG37" s="28"/>
      <c r="CH37" s="29">
        <v>0.79166666666666663</v>
      </c>
      <c r="CI37" s="27" t="s">
        <v>43</v>
      </c>
      <c r="CJ37" s="28">
        <v>1.2916666666666665</v>
      </c>
      <c r="CK37" s="133">
        <v>19</v>
      </c>
      <c r="CL37" s="133">
        <v>2</v>
      </c>
    </row>
    <row r="38" spans="1:90" ht="20.100000000000001" customHeight="1" x14ac:dyDescent="0.25">
      <c r="A38" s="24"/>
      <c r="B38" s="24"/>
      <c r="C38" s="137">
        <v>37</v>
      </c>
      <c r="D38" s="138"/>
      <c r="E38" s="138"/>
      <c r="F38" s="139">
        <f t="shared" si="0"/>
        <v>0.99998842592592596</v>
      </c>
      <c r="G38" s="139">
        <f t="shared" si="8"/>
        <v>0</v>
      </c>
      <c r="H38" s="140">
        <f t="shared" si="9"/>
        <v>-0.99998842592592596</v>
      </c>
      <c r="I38" s="141">
        <f t="shared" si="10"/>
        <v>0</v>
      </c>
      <c r="J38" s="141">
        <f t="shared" si="11"/>
        <v>14</v>
      </c>
      <c r="K38" s="141">
        <f t="shared" si="12"/>
        <v>0</v>
      </c>
      <c r="L38" s="141" t="e">
        <f t="shared" si="1"/>
        <v>#N/A</v>
      </c>
      <c r="M38" s="141" t="e">
        <f t="shared" si="2"/>
        <v>#N/A</v>
      </c>
      <c r="N38" s="141" t="e">
        <f t="shared" si="3"/>
        <v>#N/A</v>
      </c>
      <c r="O38" s="142" t="e">
        <f t="shared" si="4"/>
        <v>#N/A</v>
      </c>
      <c r="P38" s="137">
        <f t="shared" si="5"/>
        <v>0</v>
      </c>
      <c r="Q38" s="137">
        <f t="shared" si="6"/>
        <v>0</v>
      </c>
      <c r="R38" s="137" t="e">
        <f t="shared" si="7"/>
        <v>#N/A</v>
      </c>
      <c r="S38" s="82"/>
      <c r="T38" s="83"/>
      <c r="U38" s="84"/>
      <c r="V38" s="85"/>
      <c r="W38" s="83"/>
      <c r="X38" s="84"/>
      <c r="Y38" s="85"/>
      <c r="Z38" s="83"/>
      <c r="AA38" s="84"/>
      <c r="AB38" s="85"/>
      <c r="AC38" s="83"/>
      <c r="AD38" s="84"/>
      <c r="AE38" s="85"/>
      <c r="AF38" s="83"/>
      <c r="AG38" s="84"/>
      <c r="AH38" s="85"/>
      <c r="AI38" s="83"/>
      <c r="AJ38" s="84"/>
      <c r="AK38" s="85"/>
      <c r="AL38" s="83"/>
      <c r="AM38" s="84"/>
      <c r="AN38" s="30">
        <f t="shared" si="13"/>
        <v>0</v>
      </c>
      <c r="AO38" s="82"/>
      <c r="AP38" s="83"/>
      <c r="AQ38" s="84"/>
      <c r="AR38" s="85"/>
      <c r="AS38" s="83"/>
      <c r="AT38" s="84"/>
      <c r="AU38" s="85"/>
      <c r="AV38" s="83"/>
      <c r="AW38" s="84"/>
      <c r="AX38" s="85"/>
      <c r="AY38" s="83"/>
      <c r="AZ38" s="84"/>
      <c r="BA38" s="85"/>
      <c r="BB38" s="83"/>
      <c r="BC38" s="84"/>
      <c r="BD38" s="85"/>
      <c r="BE38" s="83"/>
      <c r="BF38" s="84"/>
      <c r="BG38" s="85"/>
      <c r="BH38" s="83"/>
      <c r="BI38" s="84"/>
      <c r="BJ38" s="30">
        <f t="shared" si="14"/>
        <v>0</v>
      </c>
      <c r="BK38" s="30">
        <f t="shared" si="15"/>
        <v>0</v>
      </c>
      <c r="BL38" s="31"/>
      <c r="BM38" s="114"/>
      <c r="BN38" s="31"/>
      <c r="BP38" s="29"/>
      <c r="BQ38" s="27" t="s">
        <v>42</v>
      </c>
      <c r="BR38" s="28"/>
      <c r="BS38" s="29">
        <v>0.79166666666666663</v>
      </c>
      <c r="BT38" s="27" t="s">
        <v>43</v>
      </c>
      <c r="BU38" s="28">
        <v>1.2916666666666665</v>
      </c>
      <c r="BV38" s="29"/>
      <c r="BW38" s="27" t="s">
        <v>42</v>
      </c>
      <c r="BX38" s="28"/>
      <c r="BY38" s="29">
        <v>0.79166666666666663</v>
      </c>
      <c r="BZ38" s="27" t="s">
        <v>43</v>
      </c>
      <c r="CA38" s="28">
        <v>1.2916666666666665</v>
      </c>
      <c r="CB38" s="29"/>
      <c r="CC38" s="27" t="s">
        <v>42</v>
      </c>
      <c r="CD38" s="28"/>
      <c r="CE38" s="29">
        <v>0.79166666666666663</v>
      </c>
      <c r="CF38" s="27" t="s">
        <v>43</v>
      </c>
      <c r="CG38" s="28">
        <v>1.2916666666666665</v>
      </c>
      <c r="CH38" s="29"/>
      <c r="CI38" s="27" t="s">
        <v>42</v>
      </c>
      <c r="CJ38" s="28"/>
      <c r="CK38" s="133">
        <v>19</v>
      </c>
      <c r="CL38" s="133">
        <v>1</v>
      </c>
    </row>
    <row r="39" spans="1:90" ht="20.100000000000001" customHeight="1" x14ac:dyDescent="0.25">
      <c r="A39" s="24"/>
      <c r="B39" s="24"/>
      <c r="C39" s="137">
        <v>38</v>
      </c>
      <c r="D39" s="138"/>
      <c r="E39" s="138"/>
      <c r="F39" s="139">
        <f t="shared" si="0"/>
        <v>0.99998842592592596</v>
      </c>
      <c r="G39" s="139">
        <f t="shared" si="8"/>
        <v>0</v>
      </c>
      <c r="H39" s="140">
        <f t="shared" si="9"/>
        <v>-0.99998842592592596</v>
      </c>
      <c r="I39" s="141">
        <f t="shared" si="10"/>
        <v>0</v>
      </c>
      <c r="J39" s="141">
        <f t="shared" si="11"/>
        <v>14</v>
      </c>
      <c r="K39" s="141">
        <f t="shared" si="12"/>
        <v>0</v>
      </c>
      <c r="L39" s="141" t="e">
        <f t="shared" si="1"/>
        <v>#N/A</v>
      </c>
      <c r="M39" s="141" t="e">
        <f t="shared" si="2"/>
        <v>#N/A</v>
      </c>
      <c r="N39" s="141" t="e">
        <f t="shared" si="3"/>
        <v>#N/A</v>
      </c>
      <c r="O39" s="142" t="e">
        <f t="shared" si="4"/>
        <v>#N/A</v>
      </c>
      <c r="P39" s="137">
        <f t="shared" si="5"/>
        <v>0</v>
      </c>
      <c r="Q39" s="137">
        <f t="shared" si="6"/>
        <v>0</v>
      </c>
      <c r="R39" s="137" t="e">
        <f t="shared" si="7"/>
        <v>#N/A</v>
      </c>
      <c r="S39" s="82"/>
      <c r="T39" s="83"/>
      <c r="U39" s="84"/>
      <c r="V39" s="85"/>
      <c r="W39" s="83"/>
      <c r="X39" s="84"/>
      <c r="Y39" s="85"/>
      <c r="Z39" s="83"/>
      <c r="AA39" s="84"/>
      <c r="AB39" s="85"/>
      <c r="AC39" s="83"/>
      <c r="AD39" s="84"/>
      <c r="AE39" s="85"/>
      <c r="AF39" s="83"/>
      <c r="AG39" s="84"/>
      <c r="AH39" s="85"/>
      <c r="AI39" s="83"/>
      <c r="AJ39" s="84"/>
      <c r="AK39" s="85"/>
      <c r="AL39" s="83"/>
      <c r="AM39" s="84"/>
      <c r="AN39" s="30">
        <f t="shared" si="13"/>
        <v>0</v>
      </c>
      <c r="AO39" s="82"/>
      <c r="AP39" s="83"/>
      <c r="AQ39" s="84"/>
      <c r="AR39" s="85"/>
      <c r="AS39" s="83"/>
      <c r="AT39" s="84"/>
      <c r="AU39" s="85"/>
      <c r="AV39" s="83"/>
      <c r="AW39" s="84"/>
      <c r="AX39" s="85"/>
      <c r="AY39" s="83"/>
      <c r="AZ39" s="84"/>
      <c r="BA39" s="85"/>
      <c r="BB39" s="83"/>
      <c r="BC39" s="84"/>
      <c r="BD39" s="85"/>
      <c r="BE39" s="83"/>
      <c r="BF39" s="84"/>
      <c r="BG39" s="85"/>
      <c r="BH39" s="83"/>
      <c r="BI39" s="84"/>
      <c r="BJ39" s="30">
        <f t="shared" si="14"/>
        <v>0</v>
      </c>
      <c r="BK39" s="30">
        <f t="shared" si="15"/>
        <v>0</v>
      </c>
      <c r="BL39" s="31"/>
      <c r="BM39" s="114"/>
      <c r="BN39" s="31"/>
      <c r="BP39" s="25"/>
      <c r="BQ39" s="27" t="s">
        <v>42</v>
      </c>
      <c r="BR39" s="28"/>
      <c r="BS39" s="29">
        <v>0.79166666666666663</v>
      </c>
      <c r="BT39" s="27" t="s">
        <v>43</v>
      </c>
      <c r="BU39" s="28">
        <v>1.2916666666666665</v>
      </c>
      <c r="BV39" s="29"/>
      <c r="BW39" s="27" t="s">
        <v>42</v>
      </c>
      <c r="BX39" s="28"/>
      <c r="BY39" s="29"/>
      <c r="BZ39" s="27" t="s">
        <v>42</v>
      </c>
      <c r="CA39" s="28"/>
      <c r="CB39" s="29">
        <v>0.79166666666666663</v>
      </c>
      <c r="CC39" s="27" t="s">
        <v>43</v>
      </c>
      <c r="CD39" s="28">
        <v>1.2916666666666665</v>
      </c>
      <c r="CE39" s="29"/>
      <c r="CF39" s="27" t="s">
        <v>42</v>
      </c>
      <c r="CG39" s="28"/>
      <c r="CH39" s="29">
        <v>0.79166666666666663</v>
      </c>
      <c r="CI39" s="27" t="s">
        <v>43</v>
      </c>
      <c r="CJ39" s="28">
        <v>1.2916666666666665</v>
      </c>
      <c r="CK39" s="133">
        <v>20</v>
      </c>
      <c r="CL39" s="133">
        <v>2</v>
      </c>
    </row>
    <row r="40" spans="1:90" ht="20.100000000000001" customHeight="1" x14ac:dyDescent="0.25">
      <c r="A40" s="24"/>
      <c r="B40" s="24"/>
      <c r="C40" s="137">
        <v>39</v>
      </c>
      <c r="D40" s="138"/>
      <c r="E40" s="138"/>
      <c r="F40" s="139">
        <f t="shared" si="0"/>
        <v>0.99998842592592596</v>
      </c>
      <c r="G40" s="139">
        <f t="shared" si="8"/>
        <v>0</v>
      </c>
      <c r="H40" s="140">
        <f t="shared" si="9"/>
        <v>-0.99998842592592596</v>
      </c>
      <c r="I40" s="141">
        <f t="shared" si="10"/>
        <v>0</v>
      </c>
      <c r="J40" s="141">
        <f t="shared" si="11"/>
        <v>14</v>
      </c>
      <c r="K40" s="141">
        <f t="shared" si="12"/>
        <v>0</v>
      </c>
      <c r="L40" s="141" t="e">
        <f t="shared" si="1"/>
        <v>#N/A</v>
      </c>
      <c r="M40" s="141" t="e">
        <f t="shared" si="2"/>
        <v>#N/A</v>
      </c>
      <c r="N40" s="141" t="e">
        <f t="shared" si="3"/>
        <v>#N/A</v>
      </c>
      <c r="O40" s="142" t="e">
        <f t="shared" si="4"/>
        <v>#N/A</v>
      </c>
      <c r="P40" s="137">
        <f t="shared" si="5"/>
        <v>0</v>
      </c>
      <c r="Q40" s="137">
        <f t="shared" si="6"/>
        <v>0</v>
      </c>
      <c r="R40" s="137" t="e">
        <f t="shared" si="7"/>
        <v>#N/A</v>
      </c>
      <c r="S40" s="82"/>
      <c r="T40" s="83"/>
      <c r="U40" s="84"/>
      <c r="V40" s="85"/>
      <c r="W40" s="83"/>
      <c r="X40" s="84"/>
      <c r="Y40" s="85"/>
      <c r="Z40" s="83"/>
      <c r="AA40" s="84"/>
      <c r="AB40" s="85"/>
      <c r="AC40" s="83"/>
      <c r="AD40" s="84"/>
      <c r="AE40" s="85"/>
      <c r="AF40" s="83"/>
      <c r="AG40" s="84"/>
      <c r="AH40" s="85"/>
      <c r="AI40" s="83"/>
      <c r="AJ40" s="84"/>
      <c r="AK40" s="85"/>
      <c r="AL40" s="83"/>
      <c r="AM40" s="84"/>
      <c r="AN40" s="30">
        <f t="shared" si="13"/>
        <v>0</v>
      </c>
      <c r="AO40" s="82"/>
      <c r="AP40" s="83"/>
      <c r="AQ40" s="84"/>
      <c r="AR40" s="85"/>
      <c r="AS40" s="83"/>
      <c r="AT40" s="84"/>
      <c r="AU40" s="85"/>
      <c r="AV40" s="83"/>
      <c r="AW40" s="84"/>
      <c r="AX40" s="85"/>
      <c r="AY40" s="83"/>
      <c r="AZ40" s="84"/>
      <c r="BA40" s="85"/>
      <c r="BB40" s="83"/>
      <c r="BC40" s="84"/>
      <c r="BD40" s="85"/>
      <c r="BE40" s="83"/>
      <c r="BF40" s="84"/>
      <c r="BG40" s="85"/>
      <c r="BH40" s="83"/>
      <c r="BI40" s="84"/>
      <c r="BJ40" s="30">
        <f t="shared" si="14"/>
        <v>0</v>
      </c>
      <c r="BK40" s="30">
        <f t="shared" si="15"/>
        <v>0</v>
      </c>
      <c r="BL40" s="31"/>
      <c r="BM40" s="114"/>
      <c r="BN40" s="31"/>
      <c r="BP40" s="25">
        <v>0.79166666666666663</v>
      </c>
      <c r="BQ40" s="27" t="s">
        <v>43</v>
      </c>
      <c r="BR40" s="28">
        <v>1.2916666666666665</v>
      </c>
      <c r="BS40" s="29"/>
      <c r="BT40" s="27" t="s">
        <v>42</v>
      </c>
      <c r="BU40" s="28"/>
      <c r="BV40" s="29">
        <v>0.79166666666666663</v>
      </c>
      <c r="BW40" s="27" t="s">
        <v>43</v>
      </c>
      <c r="BX40" s="28">
        <v>1.2916666666666665</v>
      </c>
      <c r="BY40" s="29"/>
      <c r="BZ40" s="27" t="s">
        <v>42</v>
      </c>
      <c r="CA40" s="28"/>
      <c r="CB40" s="29">
        <v>0.79166666666666663</v>
      </c>
      <c r="CC40" s="27" t="s">
        <v>43</v>
      </c>
      <c r="CD40" s="28">
        <v>1.2916666666666665</v>
      </c>
      <c r="CE40" s="29"/>
      <c r="CF40" s="27" t="s">
        <v>42</v>
      </c>
      <c r="CG40" s="28"/>
      <c r="CH40" s="29"/>
      <c r="CI40" s="27" t="s">
        <v>42</v>
      </c>
      <c r="CJ40" s="28"/>
      <c r="CK40" s="133">
        <v>20</v>
      </c>
      <c r="CL40" s="133">
        <v>1</v>
      </c>
    </row>
    <row r="41" spans="1:90" ht="20.100000000000001" customHeight="1" x14ac:dyDescent="0.25">
      <c r="A41" s="24"/>
      <c r="B41" s="24"/>
      <c r="C41" s="137">
        <v>40</v>
      </c>
      <c r="D41" s="138"/>
      <c r="E41" s="138"/>
      <c r="F41" s="139">
        <f t="shared" si="0"/>
        <v>0.99998842592592596</v>
      </c>
      <c r="G41" s="139">
        <f t="shared" si="8"/>
        <v>0</v>
      </c>
      <c r="H41" s="140">
        <f t="shared" si="9"/>
        <v>-0.99998842592592596</v>
      </c>
      <c r="I41" s="141">
        <f t="shared" si="10"/>
        <v>0</v>
      </c>
      <c r="J41" s="141">
        <f t="shared" si="11"/>
        <v>14</v>
      </c>
      <c r="K41" s="141">
        <f t="shared" si="12"/>
        <v>0</v>
      </c>
      <c r="L41" s="141" t="e">
        <f t="shared" si="1"/>
        <v>#N/A</v>
      </c>
      <c r="M41" s="141" t="e">
        <f t="shared" si="2"/>
        <v>#N/A</v>
      </c>
      <c r="N41" s="141" t="e">
        <f t="shared" si="3"/>
        <v>#N/A</v>
      </c>
      <c r="O41" s="142" t="e">
        <f t="shared" si="4"/>
        <v>#N/A</v>
      </c>
      <c r="P41" s="137">
        <f t="shared" si="5"/>
        <v>0</v>
      </c>
      <c r="Q41" s="137">
        <f t="shared" si="6"/>
        <v>0</v>
      </c>
      <c r="R41" s="137" t="e">
        <f t="shared" si="7"/>
        <v>#N/A</v>
      </c>
      <c r="S41" s="82"/>
      <c r="T41" s="83"/>
      <c r="U41" s="84"/>
      <c r="V41" s="85"/>
      <c r="W41" s="83"/>
      <c r="X41" s="84"/>
      <c r="Y41" s="85"/>
      <c r="Z41" s="83"/>
      <c r="AA41" s="84"/>
      <c r="AB41" s="85"/>
      <c r="AC41" s="83"/>
      <c r="AD41" s="84"/>
      <c r="AE41" s="85"/>
      <c r="AF41" s="83"/>
      <c r="AG41" s="84"/>
      <c r="AH41" s="85"/>
      <c r="AI41" s="83"/>
      <c r="AJ41" s="84"/>
      <c r="AK41" s="85"/>
      <c r="AL41" s="83"/>
      <c r="AM41" s="84"/>
      <c r="AN41" s="30">
        <f t="shared" si="13"/>
        <v>0</v>
      </c>
      <c r="AO41" s="82"/>
      <c r="AP41" s="83"/>
      <c r="AQ41" s="84"/>
      <c r="AR41" s="85"/>
      <c r="AS41" s="83"/>
      <c r="AT41" s="84"/>
      <c r="AU41" s="85"/>
      <c r="AV41" s="83"/>
      <c r="AW41" s="84"/>
      <c r="AX41" s="85"/>
      <c r="AY41" s="83"/>
      <c r="AZ41" s="84"/>
      <c r="BA41" s="85"/>
      <c r="BB41" s="83"/>
      <c r="BC41" s="84"/>
      <c r="BD41" s="85"/>
      <c r="BE41" s="83"/>
      <c r="BF41" s="84"/>
      <c r="BG41" s="85"/>
      <c r="BH41" s="83"/>
      <c r="BI41" s="84"/>
      <c r="BJ41" s="30">
        <f>TourHours(AO41:BI41,0)</f>
        <v>0</v>
      </c>
      <c r="BK41" s="30">
        <f>BJ41+AN41</f>
        <v>0</v>
      </c>
      <c r="BL41" s="31"/>
      <c r="BM41" s="114"/>
      <c r="BN41" s="31"/>
      <c r="BP41" s="29">
        <v>0.79166666666666663</v>
      </c>
      <c r="BQ41" s="27" t="s">
        <v>43</v>
      </c>
      <c r="BR41" s="28">
        <v>1.2916666666666665</v>
      </c>
      <c r="BS41" s="29"/>
      <c r="BT41" s="27" t="s">
        <v>42</v>
      </c>
      <c r="BU41" s="28"/>
      <c r="BV41" s="25">
        <v>0.79166666666666663</v>
      </c>
      <c r="BW41" s="27" t="s">
        <v>43</v>
      </c>
      <c r="BX41" s="28">
        <v>1.2916666666666665</v>
      </c>
      <c r="BY41" s="29"/>
      <c r="BZ41" s="27" t="s">
        <v>42</v>
      </c>
      <c r="CA41" s="28"/>
      <c r="CB41" s="29"/>
      <c r="CC41" s="27" t="s">
        <v>42</v>
      </c>
      <c r="CD41" s="28"/>
      <c r="CE41" s="29">
        <v>0.79166666666666663</v>
      </c>
      <c r="CF41" s="27" t="s">
        <v>43</v>
      </c>
      <c r="CG41" s="28">
        <v>1.2916666666666665</v>
      </c>
      <c r="CH41" s="29"/>
      <c r="CI41" s="27" t="s">
        <v>42</v>
      </c>
      <c r="CJ41" s="28"/>
      <c r="CK41" s="133">
        <v>21</v>
      </c>
      <c r="CL41" s="133">
        <v>1</v>
      </c>
    </row>
    <row r="42" spans="1:90" ht="20.100000000000001" customHeight="1" x14ac:dyDescent="0.25">
      <c r="A42" s="24"/>
      <c r="B42" s="24"/>
      <c r="C42" s="137">
        <v>41</v>
      </c>
      <c r="D42" s="138"/>
      <c r="E42" s="138"/>
      <c r="F42" s="139">
        <f>TourMinStartTime(S42:AM42,AO42:BI42)</f>
        <v>0.99998842592592596</v>
      </c>
      <c r="G42" s="139">
        <f>TourMaxStartTime(S42:AM42,AO42:BI42)</f>
        <v>0</v>
      </c>
      <c r="H42" s="140">
        <f>(G42-F42)</f>
        <v>-0.99998842592592596</v>
      </c>
      <c r="I42" s="141">
        <f>TourMaxWorkStretch(TRUE,S42:AM42,AO42:BI42)</f>
        <v>0</v>
      </c>
      <c r="J42" s="141">
        <f>TourMaxOffStretch(TRUE,S42:AM42,AO42:BI42)</f>
        <v>14</v>
      </c>
      <c r="K42" s="141">
        <f>TourWeekendDaysWorked(WeekendMidnightThreshold,S42:AM42,AO42:BI42)</f>
        <v>0</v>
      </c>
      <c r="L42" s="141" t="e">
        <f t="shared" si="1"/>
        <v>#N/A</v>
      </c>
      <c r="M42" s="141" t="e">
        <f t="shared" si="2"/>
        <v>#N/A</v>
      </c>
      <c r="N42" s="141" t="e">
        <f t="shared" si="3"/>
        <v>#N/A</v>
      </c>
      <c r="O42" s="142" t="e">
        <f>VLOOKUP(B42,Nurse_Labels,2)</f>
        <v>#N/A</v>
      </c>
      <c r="P42" s="137">
        <f>TourMaxShiftLength(S42:AM42)</f>
        <v>0</v>
      </c>
      <c r="Q42" s="137">
        <f>TourNumDaysWorked(S42:AM42)</f>
        <v>0</v>
      </c>
      <c r="R42" s="137" t="e">
        <f>VLOOKUP(B42,Tour_Type_Labels,2)</f>
        <v>#N/A</v>
      </c>
      <c r="S42" s="82"/>
      <c r="T42" s="83"/>
      <c r="U42" s="84"/>
      <c r="V42" s="85"/>
      <c r="W42" s="83"/>
      <c r="X42" s="84"/>
      <c r="Y42" s="85"/>
      <c r="Z42" s="83"/>
      <c r="AA42" s="84"/>
      <c r="AB42" s="85"/>
      <c r="AC42" s="83"/>
      <c r="AD42" s="84"/>
      <c r="AE42" s="85"/>
      <c r="AF42" s="83"/>
      <c r="AG42" s="84"/>
      <c r="AH42" s="85"/>
      <c r="AI42" s="83"/>
      <c r="AJ42" s="84"/>
      <c r="AK42" s="85"/>
      <c r="AL42" s="83"/>
      <c r="AM42" s="84"/>
      <c r="AN42" s="30">
        <f t="shared" si="13"/>
        <v>0</v>
      </c>
      <c r="AO42" s="82"/>
      <c r="AP42" s="83"/>
      <c r="AQ42" s="84"/>
      <c r="AR42" s="85"/>
      <c r="AS42" s="83"/>
      <c r="AT42" s="84"/>
      <c r="AU42" s="85"/>
      <c r="AV42" s="83"/>
      <c r="AW42" s="84"/>
      <c r="AX42" s="85"/>
      <c r="AY42" s="83"/>
      <c r="AZ42" s="84"/>
      <c r="BA42" s="85"/>
      <c r="BB42" s="83"/>
      <c r="BC42" s="84"/>
      <c r="BD42" s="85"/>
      <c r="BE42" s="83"/>
      <c r="BF42" s="84"/>
      <c r="BG42" s="85"/>
      <c r="BH42" s="83"/>
      <c r="BI42" s="84"/>
      <c r="BJ42" s="30">
        <f t="shared" si="14"/>
        <v>0</v>
      </c>
      <c r="BK42" s="30">
        <f t="shared" si="15"/>
        <v>0</v>
      </c>
      <c r="BL42" s="31"/>
      <c r="BM42" s="114"/>
      <c r="BN42" s="31"/>
      <c r="BP42" s="25"/>
      <c r="BQ42" s="27" t="s">
        <v>42</v>
      </c>
      <c r="BR42" s="28"/>
      <c r="BS42" s="29"/>
      <c r="BT42" s="27" t="s">
        <v>42</v>
      </c>
      <c r="BU42" s="28"/>
      <c r="BV42" s="29"/>
      <c r="BW42" s="27" t="s">
        <v>42</v>
      </c>
      <c r="BX42" s="28"/>
      <c r="BY42" s="29">
        <v>0.79166666666666663</v>
      </c>
      <c r="BZ42" s="27" t="s">
        <v>43</v>
      </c>
      <c r="CA42" s="28">
        <v>1.2916666666666665</v>
      </c>
      <c r="CB42" s="29">
        <v>0.79166666666666663</v>
      </c>
      <c r="CC42" s="27" t="s">
        <v>43</v>
      </c>
      <c r="CD42" s="28">
        <v>1.2916666666666665</v>
      </c>
      <c r="CE42" s="29"/>
      <c r="CF42" s="27" t="s">
        <v>42</v>
      </c>
      <c r="CG42" s="28"/>
      <c r="CH42" s="29">
        <v>0.79166666666666663</v>
      </c>
      <c r="CI42" s="27" t="s">
        <v>43</v>
      </c>
      <c r="CJ42" s="28">
        <v>1.2916666666666665</v>
      </c>
      <c r="CK42" s="133">
        <v>22</v>
      </c>
      <c r="CL42" s="133">
        <v>2</v>
      </c>
    </row>
    <row r="43" spans="1:90" ht="20.100000000000001" customHeight="1" x14ac:dyDescent="0.25">
      <c r="A43" s="24"/>
      <c r="B43" s="24"/>
      <c r="C43" s="137">
        <v>42</v>
      </c>
      <c r="D43" s="138"/>
      <c r="E43" s="138"/>
      <c r="F43" s="139">
        <f t="shared" ref="F43:F70" si="31">TourMinStartTime(S43:AM43,AO43:BI43)</f>
        <v>0.99998842592592596</v>
      </c>
      <c r="G43" s="139">
        <f t="shared" ref="G43:G70" si="32">TourMaxStartTime(S43:AM43,AO43:BI43)</f>
        <v>0</v>
      </c>
      <c r="H43" s="140">
        <f t="shared" ref="H43:H70" si="33">(G43-F43)</f>
        <v>-0.99998842592592596</v>
      </c>
      <c r="I43" s="141">
        <f t="shared" ref="I43:I70" si="34">TourMaxWorkStretch(TRUE,S43:AM43,AO43:BI43)</f>
        <v>0</v>
      </c>
      <c r="J43" s="141">
        <f t="shared" ref="J43:J70" si="35">TourMaxOffStretch(TRUE,S43:AM43,AO43:BI43)</f>
        <v>14</v>
      </c>
      <c r="K43" s="141">
        <f t="shared" ref="K43:K70" si="36">TourWeekendDaysWorked(WeekendMidnightThreshold,S43:AM43,AO43:BI43)</f>
        <v>0</v>
      </c>
      <c r="L43" s="141" t="e">
        <f t="shared" ref="L43:L70" si="37">IF(FIND(TEXT(AN43,"0"),VLOOKUP(B43,Tour_Type_SchedHours,3))&gt;0,"OK","ERROR")</f>
        <v>#N/A</v>
      </c>
      <c r="M43" s="141" t="e">
        <f t="shared" ref="M43:M70" si="38">IF(FIND(TEXT(BJ43,"0"),VLOOKUP(B43,Tour_Type_SchedHours,3))&gt;0,"OK","ERROR")</f>
        <v>#N/A</v>
      </c>
      <c r="N43" s="141" t="e">
        <f t="shared" ref="N43:N70" si="39">BK43-VLOOKUP(B43,Tour_Type_SchedHours,2)</f>
        <v>#N/A</v>
      </c>
      <c r="O43" s="142" t="e">
        <f t="shared" ref="O43:O70" si="40">VLOOKUP(B43,Nurse_Labels,2)</f>
        <v>#N/A</v>
      </c>
      <c r="P43" s="137">
        <f t="shared" ref="P43:P70" si="41">TourMaxShiftLength(S43:AM43)</f>
        <v>0</v>
      </c>
      <c r="Q43" s="137">
        <f t="shared" ref="Q43:Q70" si="42">TourNumDaysWorked(S43:AM43)</f>
        <v>0</v>
      </c>
      <c r="R43" s="137" t="e">
        <f t="shared" ref="R43:R70" si="43">VLOOKUP(B43,Tour_Type_Labels,2)</f>
        <v>#N/A</v>
      </c>
      <c r="S43" s="82"/>
      <c r="T43" s="83"/>
      <c r="U43" s="84"/>
      <c r="V43" s="85"/>
      <c r="W43" s="83"/>
      <c r="X43" s="84"/>
      <c r="Y43" s="85"/>
      <c r="Z43" s="83"/>
      <c r="AA43" s="84"/>
      <c r="AB43" s="85"/>
      <c r="AC43" s="83"/>
      <c r="AD43" s="84"/>
      <c r="AE43" s="85"/>
      <c r="AF43" s="83"/>
      <c r="AG43" s="84"/>
      <c r="AH43" s="85"/>
      <c r="AI43" s="83"/>
      <c r="AJ43" s="84"/>
      <c r="AK43" s="85"/>
      <c r="AL43" s="83"/>
      <c r="AM43" s="84"/>
      <c r="AN43" s="30">
        <f t="shared" si="13"/>
        <v>0</v>
      </c>
      <c r="AO43" s="82"/>
      <c r="AP43" s="83"/>
      <c r="AQ43" s="84"/>
      <c r="AR43" s="85"/>
      <c r="AS43" s="83"/>
      <c r="AT43" s="84"/>
      <c r="AU43" s="85"/>
      <c r="AV43" s="83"/>
      <c r="AW43" s="84"/>
      <c r="AX43" s="85"/>
      <c r="AY43" s="83"/>
      <c r="AZ43" s="84"/>
      <c r="BA43" s="85"/>
      <c r="BB43" s="83"/>
      <c r="BC43" s="84"/>
      <c r="BD43" s="85"/>
      <c r="BE43" s="83"/>
      <c r="BF43" s="84"/>
      <c r="BG43" s="85"/>
      <c r="BH43" s="83"/>
      <c r="BI43" s="84"/>
      <c r="BJ43" s="30">
        <f t="shared" ref="BJ43:BJ70" si="44">TourHours(AO43:BI43,0)</f>
        <v>0</v>
      </c>
      <c r="BK43" s="30">
        <f t="shared" ref="BK43:BK70" si="45">BJ43+AN43</f>
        <v>0</v>
      </c>
      <c r="BL43" s="31"/>
      <c r="BM43" s="114"/>
      <c r="BN43" s="31"/>
      <c r="BP43" s="25"/>
      <c r="BQ43" s="27"/>
      <c r="BR43" s="28"/>
      <c r="BS43" s="29"/>
      <c r="BT43" s="27"/>
      <c r="BU43" s="28"/>
      <c r="BV43" s="29"/>
      <c r="BW43" s="27"/>
      <c r="BX43" s="28"/>
      <c r="BY43" s="29"/>
      <c r="BZ43" s="27"/>
      <c r="CA43" s="28"/>
      <c r="CB43" s="29"/>
      <c r="CC43" s="27"/>
      <c r="CD43" s="28"/>
      <c r="CE43" s="29"/>
      <c r="CF43" s="27"/>
      <c r="CG43" s="28"/>
      <c r="CH43" s="29"/>
      <c r="CI43" s="27"/>
      <c r="CJ43" s="28"/>
      <c r="CK43" s="133"/>
      <c r="CL43" s="133"/>
    </row>
    <row r="44" spans="1:90" ht="20.100000000000001" customHeight="1" x14ac:dyDescent="0.25">
      <c r="A44" s="24"/>
      <c r="B44" s="24"/>
      <c r="C44" s="137">
        <v>43</v>
      </c>
      <c r="D44" s="138"/>
      <c r="E44" s="138"/>
      <c r="F44" s="139">
        <f t="shared" si="31"/>
        <v>0.99998842592592596</v>
      </c>
      <c r="G44" s="139">
        <f t="shared" si="32"/>
        <v>0</v>
      </c>
      <c r="H44" s="140">
        <f t="shared" si="33"/>
        <v>-0.99998842592592596</v>
      </c>
      <c r="I44" s="141">
        <f t="shared" si="34"/>
        <v>0</v>
      </c>
      <c r="J44" s="141">
        <f t="shared" si="35"/>
        <v>14</v>
      </c>
      <c r="K44" s="141">
        <f t="shared" si="36"/>
        <v>0</v>
      </c>
      <c r="L44" s="141" t="e">
        <f t="shared" si="37"/>
        <v>#N/A</v>
      </c>
      <c r="M44" s="141" t="e">
        <f t="shared" si="38"/>
        <v>#N/A</v>
      </c>
      <c r="N44" s="141" t="e">
        <f t="shared" si="39"/>
        <v>#N/A</v>
      </c>
      <c r="O44" s="142" t="e">
        <f t="shared" si="40"/>
        <v>#N/A</v>
      </c>
      <c r="P44" s="137">
        <f t="shared" si="41"/>
        <v>0</v>
      </c>
      <c r="Q44" s="137">
        <f t="shared" si="42"/>
        <v>0</v>
      </c>
      <c r="R44" s="137" t="e">
        <f t="shared" si="43"/>
        <v>#N/A</v>
      </c>
      <c r="S44" s="82"/>
      <c r="T44" s="83"/>
      <c r="U44" s="84"/>
      <c r="V44" s="85"/>
      <c r="W44" s="83"/>
      <c r="X44" s="84"/>
      <c r="Y44" s="85"/>
      <c r="Z44" s="83"/>
      <c r="AA44" s="84"/>
      <c r="AB44" s="85"/>
      <c r="AC44" s="83"/>
      <c r="AD44" s="84"/>
      <c r="AE44" s="85"/>
      <c r="AF44" s="83"/>
      <c r="AG44" s="84"/>
      <c r="AH44" s="85"/>
      <c r="AI44" s="83"/>
      <c r="AJ44" s="84"/>
      <c r="AK44" s="85"/>
      <c r="AL44" s="83"/>
      <c r="AM44" s="84"/>
      <c r="AN44" s="30">
        <f t="shared" si="13"/>
        <v>0</v>
      </c>
      <c r="AO44" s="82"/>
      <c r="AP44" s="83"/>
      <c r="AQ44" s="84"/>
      <c r="AR44" s="85"/>
      <c r="AS44" s="83"/>
      <c r="AT44" s="84"/>
      <c r="AU44" s="85"/>
      <c r="AV44" s="83"/>
      <c r="AW44" s="84"/>
      <c r="AX44" s="85"/>
      <c r="AY44" s="83"/>
      <c r="AZ44" s="84"/>
      <c r="BA44" s="85"/>
      <c r="BB44" s="83"/>
      <c r="BC44" s="84"/>
      <c r="BD44" s="85"/>
      <c r="BE44" s="83"/>
      <c r="BF44" s="84"/>
      <c r="BG44" s="85"/>
      <c r="BH44" s="83"/>
      <c r="BI44" s="84"/>
      <c r="BJ44" s="30">
        <f t="shared" si="44"/>
        <v>0</v>
      </c>
      <c r="BK44" s="30">
        <f t="shared" si="45"/>
        <v>0</v>
      </c>
      <c r="BL44" s="31"/>
      <c r="BM44" s="114"/>
      <c r="BN44" s="31"/>
      <c r="BP44" s="25"/>
      <c r="BQ44" s="27"/>
      <c r="BR44" s="28"/>
      <c r="BS44" s="29"/>
      <c r="BT44" s="27"/>
      <c r="BU44" s="28"/>
      <c r="BV44" s="29"/>
      <c r="BW44" s="27"/>
      <c r="BX44" s="28"/>
      <c r="BY44" s="29"/>
      <c r="BZ44" s="27"/>
      <c r="CA44" s="28"/>
      <c r="CB44" s="29"/>
      <c r="CC44" s="27"/>
      <c r="CD44" s="28"/>
      <c r="CE44" s="29"/>
      <c r="CF44" s="27"/>
      <c r="CG44" s="28"/>
      <c r="CH44" s="29"/>
      <c r="CI44" s="27"/>
      <c r="CJ44" s="28"/>
      <c r="CK44" s="133"/>
      <c r="CL44" s="133"/>
    </row>
    <row r="45" spans="1:90" ht="20.100000000000001" customHeight="1" x14ac:dyDescent="0.25">
      <c r="A45" s="24"/>
      <c r="B45" s="24"/>
      <c r="C45" s="137">
        <v>44</v>
      </c>
      <c r="D45" s="138"/>
      <c r="E45" s="138"/>
      <c r="F45" s="139">
        <f t="shared" si="31"/>
        <v>0.99998842592592596</v>
      </c>
      <c r="G45" s="139">
        <f t="shared" si="32"/>
        <v>0</v>
      </c>
      <c r="H45" s="140">
        <f t="shared" si="33"/>
        <v>-0.99998842592592596</v>
      </c>
      <c r="I45" s="141">
        <f t="shared" si="34"/>
        <v>0</v>
      </c>
      <c r="J45" s="141">
        <f t="shared" si="35"/>
        <v>14</v>
      </c>
      <c r="K45" s="141">
        <f t="shared" si="36"/>
        <v>0</v>
      </c>
      <c r="L45" s="141" t="e">
        <f t="shared" si="37"/>
        <v>#N/A</v>
      </c>
      <c r="M45" s="141" t="e">
        <f t="shared" si="38"/>
        <v>#N/A</v>
      </c>
      <c r="N45" s="141" t="e">
        <f t="shared" si="39"/>
        <v>#N/A</v>
      </c>
      <c r="O45" s="142" t="e">
        <f t="shared" si="40"/>
        <v>#N/A</v>
      </c>
      <c r="P45" s="137">
        <f t="shared" si="41"/>
        <v>0</v>
      </c>
      <c r="Q45" s="137">
        <f t="shared" si="42"/>
        <v>0</v>
      </c>
      <c r="R45" s="137" t="e">
        <f t="shared" si="43"/>
        <v>#N/A</v>
      </c>
      <c r="S45" s="82"/>
      <c r="T45" s="83"/>
      <c r="U45" s="84"/>
      <c r="V45" s="85"/>
      <c r="W45" s="83"/>
      <c r="X45" s="84"/>
      <c r="Y45" s="85"/>
      <c r="Z45" s="83"/>
      <c r="AA45" s="84"/>
      <c r="AB45" s="85"/>
      <c r="AC45" s="83"/>
      <c r="AD45" s="84"/>
      <c r="AE45" s="85"/>
      <c r="AF45" s="83"/>
      <c r="AG45" s="84"/>
      <c r="AH45" s="85"/>
      <c r="AI45" s="83"/>
      <c r="AJ45" s="84"/>
      <c r="AK45" s="85"/>
      <c r="AL45" s="83"/>
      <c r="AM45" s="84"/>
      <c r="AN45" s="30">
        <f t="shared" si="13"/>
        <v>0</v>
      </c>
      <c r="AO45" s="82"/>
      <c r="AP45" s="83"/>
      <c r="AQ45" s="84"/>
      <c r="AR45" s="85"/>
      <c r="AS45" s="83"/>
      <c r="AT45" s="84"/>
      <c r="AU45" s="85"/>
      <c r="AV45" s="83"/>
      <c r="AW45" s="84"/>
      <c r="AX45" s="85"/>
      <c r="AY45" s="83"/>
      <c r="AZ45" s="84"/>
      <c r="BA45" s="85"/>
      <c r="BB45" s="83"/>
      <c r="BC45" s="84"/>
      <c r="BD45" s="85"/>
      <c r="BE45" s="83"/>
      <c r="BF45" s="84"/>
      <c r="BG45" s="85"/>
      <c r="BH45" s="83"/>
      <c r="BI45" s="84"/>
      <c r="BJ45" s="30">
        <f t="shared" si="44"/>
        <v>0</v>
      </c>
      <c r="BK45" s="30">
        <f t="shared" si="45"/>
        <v>0</v>
      </c>
      <c r="BL45" s="31"/>
      <c r="BM45" s="114"/>
      <c r="BN45" s="31"/>
      <c r="BP45" s="25"/>
      <c r="BQ45" s="27"/>
      <c r="BR45" s="28"/>
      <c r="BS45" s="29"/>
      <c r="BT45" s="27"/>
      <c r="BU45" s="28"/>
      <c r="BV45" s="29"/>
      <c r="BW45" s="27"/>
      <c r="BX45" s="28"/>
      <c r="BY45" s="29"/>
      <c r="BZ45" s="27"/>
      <c r="CA45" s="28"/>
      <c r="CB45" s="29"/>
      <c r="CC45" s="27"/>
      <c r="CD45" s="28"/>
      <c r="CE45" s="29"/>
      <c r="CF45" s="27"/>
      <c r="CG45" s="28"/>
      <c r="CH45" s="29"/>
      <c r="CI45" s="27"/>
      <c r="CJ45" s="28"/>
      <c r="CK45" s="133"/>
      <c r="CL45" s="133"/>
    </row>
    <row r="46" spans="1:90" ht="20.100000000000001" customHeight="1" x14ac:dyDescent="0.25">
      <c r="A46" s="24"/>
      <c r="B46" s="24"/>
      <c r="C46" s="137">
        <v>45</v>
      </c>
      <c r="D46" s="138"/>
      <c r="E46" s="138"/>
      <c r="F46" s="139">
        <f t="shared" si="31"/>
        <v>0.99998842592592596</v>
      </c>
      <c r="G46" s="139">
        <f t="shared" si="32"/>
        <v>0</v>
      </c>
      <c r="H46" s="140">
        <f t="shared" si="33"/>
        <v>-0.99998842592592596</v>
      </c>
      <c r="I46" s="141">
        <f t="shared" si="34"/>
        <v>0</v>
      </c>
      <c r="J46" s="141">
        <f t="shared" si="35"/>
        <v>14</v>
      </c>
      <c r="K46" s="141">
        <f t="shared" si="36"/>
        <v>0</v>
      </c>
      <c r="L46" s="141" t="e">
        <f t="shared" si="37"/>
        <v>#N/A</v>
      </c>
      <c r="M46" s="141" t="e">
        <f t="shared" si="38"/>
        <v>#N/A</v>
      </c>
      <c r="N46" s="141" t="e">
        <f t="shared" si="39"/>
        <v>#N/A</v>
      </c>
      <c r="O46" s="142" t="e">
        <f t="shared" si="40"/>
        <v>#N/A</v>
      </c>
      <c r="P46" s="137">
        <f t="shared" si="41"/>
        <v>0</v>
      </c>
      <c r="Q46" s="137">
        <f t="shared" si="42"/>
        <v>0</v>
      </c>
      <c r="R46" s="137" t="e">
        <f t="shared" si="43"/>
        <v>#N/A</v>
      </c>
      <c r="S46" s="82"/>
      <c r="T46" s="83"/>
      <c r="U46" s="84"/>
      <c r="V46" s="85"/>
      <c r="W46" s="83"/>
      <c r="X46" s="84"/>
      <c r="Y46" s="85"/>
      <c r="Z46" s="83"/>
      <c r="AA46" s="84"/>
      <c r="AB46" s="85"/>
      <c r="AC46" s="83"/>
      <c r="AD46" s="84"/>
      <c r="AE46" s="85"/>
      <c r="AF46" s="83"/>
      <c r="AG46" s="84"/>
      <c r="AH46" s="85"/>
      <c r="AI46" s="83"/>
      <c r="AJ46" s="84"/>
      <c r="AK46" s="85"/>
      <c r="AL46" s="83"/>
      <c r="AM46" s="84"/>
      <c r="AN46" s="30">
        <f t="shared" si="13"/>
        <v>0</v>
      </c>
      <c r="AO46" s="82"/>
      <c r="AP46" s="83"/>
      <c r="AQ46" s="84"/>
      <c r="AR46" s="85"/>
      <c r="AS46" s="83"/>
      <c r="AT46" s="84"/>
      <c r="AU46" s="85"/>
      <c r="AV46" s="83"/>
      <c r="AW46" s="84"/>
      <c r="AX46" s="85"/>
      <c r="AY46" s="83"/>
      <c r="AZ46" s="84"/>
      <c r="BA46" s="85"/>
      <c r="BB46" s="83"/>
      <c r="BC46" s="84"/>
      <c r="BD46" s="85"/>
      <c r="BE46" s="83"/>
      <c r="BF46" s="84"/>
      <c r="BG46" s="85"/>
      <c r="BH46" s="83"/>
      <c r="BI46" s="84"/>
      <c r="BJ46" s="30">
        <f t="shared" si="44"/>
        <v>0</v>
      </c>
      <c r="BK46" s="30">
        <f t="shared" si="45"/>
        <v>0</v>
      </c>
      <c r="BL46" s="31"/>
      <c r="BM46" s="114"/>
      <c r="BN46" s="31"/>
      <c r="BP46" s="25"/>
      <c r="BQ46" s="27"/>
      <c r="BR46" s="28"/>
      <c r="BS46" s="29"/>
      <c r="BT46" s="27"/>
      <c r="BU46" s="28"/>
      <c r="BV46" s="29"/>
      <c r="BW46" s="27"/>
      <c r="BX46" s="28"/>
      <c r="BY46" s="29"/>
      <c r="BZ46" s="27"/>
      <c r="CA46" s="28"/>
      <c r="CB46" s="29"/>
      <c r="CC46" s="27"/>
      <c r="CD46" s="28"/>
      <c r="CE46" s="29"/>
      <c r="CF46" s="27"/>
      <c r="CG46" s="28"/>
      <c r="CH46" s="29"/>
      <c r="CI46" s="27"/>
      <c r="CJ46" s="28"/>
      <c r="CK46" s="133"/>
      <c r="CL46" s="133"/>
    </row>
    <row r="47" spans="1:90" ht="20.100000000000001" customHeight="1" x14ac:dyDescent="0.25">
      <c r="A47" s="24"/>
      <c r="B47" s="24"/>
      <c r="C47" s="137">
        <v>46</v>
      </c>
      <c r="D47" s="138"/>
      <c r="E47" s="138"/>
      <c r="F47" s="139">
        <f t="shared" si="31"/>
        <v>0.99998842592592596</v>
      </c>
      <c r="G47" s="139">
        <f t="shared" si="32"/>
        <v>0</v>
      </c>
      <c r="H47" s="140">
        <f t="shared" si="33"/>
        <v>-0.99998842592592596</v>
      </c>
      <c r="I47" s="141">
        <f t="shared" si="34"/>
        <v>0</v>
      </c>
      <c r="J47" s="141">
        <f t="shared" si="35"/>
        <v>14</v>
      </c>
      <c r="K47" s="141">
        <f t="shared" si="36"/>
        <v>0</v>
      </c>
      <c r="L47" s="141" t="e">
        <f t="shared" si="37"/>
        <v>#N/A</v>
      </c>
      <c r="M47" s="141" t="e">
        <f t="shared" si="38"/>
        <v>#N/A</v>
      </c>
      <c r="N47" s="141" t="e">
        <f t="shared" si="39"/>
        <v>#N/A</v>
      </c>
      <c r="O47" s="142" t="e">
        <f t="shared" si="40"/>
        <v>#N/A</v>
      </c>
      <c r="P47" s="137">
        <f t="shared" si="41"/>
        <v>0</v>
      </c>
      <c r="Q47" s="137">
        <f t="shared" si="42"/>
        <v>0</v>
      </c>
      <c r="R47" s="137" t="e">
        <f t="shared" si="43"/>
        <v>#N/A</v>
      </c>
      <c r="S47" s="82"/>
      <c r="T47" s="83"/>
      <c r="U47" s="84"/>
      <c r="V47" s="85"/>
      <c r="W47" s="83"/>
      <c r="X47" s="84"/>
      <c r="Y47" s="85"/>
      <c r="Z47" s="83"/>
      <c r="AA47" s="84"/>
      <c r="AB47" s="85"/>
      <c r="AC47" s="83"/>
      <c r="AD47" s="84"/>
      <c r="AE47" s="85"/>
      <c r="AF47" s="83"/>
      <c r="AG47" s="84"/>
      <c r="AH47" s="85"/>
      <c r="AI47" s="83"/>
      <c r="AJ47" s="84"/>
      <c r="AK47" s="85"/>
      <c r="AL47" s="83"/>
      <c r="AM47" s="84"/>
      <c r="AN47" s="30">
        <f t="shared" si="13"/>
        <v>0</v>
      </c>
      <c r="AO47" s="82"/>
      <c r="AP47" s="83"/>
      <c r="AQ47" s="84"/>
      <c r="AR47" s="85"/>
      <c r="AS47" s="83"/>
      <c r="AT47" s="84"/>
      <c r="AU47" s="85"/>
      <c r="AV47" s="83"/>
      <c r="AW47" s="84"/>
      <c r="AX47" s="85"/>
      <c r="AY47" s="83"/>
      <c r="AZ47" s="84"/>
      <c r="BA47" s="85"/>
      <c r="BB47" s="83"/>
      <c r="BC47" s="84"/>
      <c r="BD47" s="85"/>
      <c r="BE47" s="83"/>
      <c r="BF47" s="84"/>
      <c r="BG47" s="85"/>
      <c r="BH47" s="83"/>
      <c r="BI47" s="84"/>
      <c r="BJ47" s="30">
        <f t="shared" si="44"/>
        <v>0</v>
      </c>
      <c r="BK47" s="30">
        <f t="shared" si="45"/>
        <v>0</v>
      </c>
      <c r="BL47" s="31"/>
      <c r="BM47" s="114"/>
      <c r="BN47" s="31"/>
      <c r="BP47" s="25"/>
      <c r="BQ47" s="27"/>
      <c r="BR47" s="28"/>
      <c r="BS47" s="29"/>
      <c r="BT47" s="27"/>
      <c r="BU47" s="28"/>
      <c r="BV47" s="29"/>
      <c r="BW47" s="27"/>
      <c r="BX47" s="28"/>
      <c r="BY47" s="29"/>
      <c r="BZ47" s="27"/>
      <c r="CA47" s="28"/>
      <c r="CB47" s="29"/>
      <c r="CC47" s="27"/>
      <c r="CD47" s="28"/>
      <c r="CE47" s="29"/>
      <c r="CF47" s="27"/>
      <c r="CG47" s="28"/>
      <c r="CH47" s="29"/>
      <c r="CI47" s="27"/>
      <c r="CJ47" s="28"/>
      <c r="CK47" s="133"/>
      <c r="CL47" s="133"/>
    </row>
    <row r="48" spans="1:90" ht="20.100000000000001" customHeight="1" x14ac:dyDescent="0.25">
      <c r="A48" s="24"/>
      <c r="B48" s="24"/>
      <c r="C48" s="137">
        <v>47</v>
      </c>
      <c r="D48" s="138"/>
      <c r="E48" s="138"/>
      <c r="F48" s="139">
        <f t="shared" si="31"/>
        <v>0.99998842592592596</v>
      </c>
      <c r="G48" s="139">
        <f t="shared" si="32"/>
        <v>0</v>
      </c>
      <c r="H48" s="140">
        <f t="shared" si="33"/>
        <v>-0.99998842592592596</v>
      </c>
      <c r="I48" s="141">
        <f t="shared" si="34"/>
        <v>0</v>
      </c>
      <c r="J48" s="141">
        <f t="shared" si="35"/>
        <v>14</v>
      </c>
      <c r="K48" s="141">
        <f t="shared" si="36"/>
        <v>0</v>
      </c>
      <c r="L48" s="141" t="e">
        <f t="shared" si="37"/>
        <v>#N/A</v>
      </c>
      <c r="M48" s="141" t="e">
        <f t="shared" si="38"/>
        <v>#N/A</v>
      </c>
      <c r="N48" s="141" t="e">
        <f t="shared" si="39"/>
        <v>#N/A</v>
      </c>
      <c r="O48" s="142" t="e">
        <f t="shared" si="40"/>
        <v>#N/A</v>
      </c>
      <c r="P48" s="137">
        <f t="shared" si="41"/>
        <v>0</v>
      </c>
      <c r="Q48" s="137">
        <f t="shared" si="42"/>
        <v>0</v>
      </c>
      <c r="R48" s="137" t="e">
        <f t="shared" si="43"/>
        <v>#N/A</v>
      </c>
      <c r="S48" s="82"/>
      <c r="T48" s="83"/>
      <c r="U48" s="84"/>
      <c r="V48" s="85"/>
      <c r="W48" s="83"/>
      <c r="X48" s="84"/>
      <c r="Y48" s="85"/>
      <c r="Z48" s="83"/>
      <c r="AA48" s="84"/>
      <c r="AB48" s="85"/>
      <c r="AC48" s="83"/>
      <c r="AD48" s="84"/>
      <c r="AE48" s="85"/>
      <c r="AF48" s="83"/>
      <c r="AG48" s="84"/>
      <c r="AH48" s="85"/>
      <c r="AI48" s="83"/>
      <c r="AJ48" s="84"/>
      <c r="AK48" s="85"/>
      <c r="AL48" s="83"/>
      <c r="AM48" s="84"/>
      <c r="AN48" s="30">
        <f t="shared" si="13"/>
        <v>0</v>
      </c>
      <c r="AO48" s="82"/>
      <c r="AP48" s="83"/>
      <c r="AQ48" s="84"/>
      <c r="AR48" s="85"/>
      <c r="AS48" s="83"/>
      <c r="AT48" s="84"/>
      <c r="AU48" s="85"/>
      <c r="AV48" s="83"/>
      <c r="AW48" s="84"/>
      <c r="AX48" s="85"/>
      <c r="AY48" s="83"/>
      <c r="AZ48" s="84"/>
      <c r="BA48" s="85"/>
      <c r="BB48" s="83"/>
      <c r="BC48" s="84"/>
      <c r="BD48" s="85"/>
      <c r="BE48" s="83"/>
      <c r="BF48" s="84"/>
      <c r="BG48" s="85"/>
      <c r="BH48" s="83"/>
      <c r="BI48" s="84"/>
      <c r="BJ48" s="30">
        <f t="shared" si="44"/>
        <v>0</v>
      </c>
      <c r="BK48" s="30">
        <f t="shared" si="45"/>
        <v>0</v>
      </c>
      <c r="BL48" s="31"/>
      <c r="BM48" s="114"/>
      <c r="BN48" s="31"/>
      <c r="BP48" s="25"/>
      <c r="BQ48" s="27"/>
      <c r="BR48" s="28"/>
      <c r="BS48" s="29"/>
      <c r="BT48" s="27"/>
      <c r="BU48" s="28"/>
      <c r="BV48" s="29"/>
      <c r="BW48" s="27"/>
      <c r="BX48" s="28"/>
      <c r="BY48" s="29"/>
      <c r="BZ48" s="27"/>
      <c r="CA48" s="28"/>
      <c r="CB48" s="29"/>
      <c r="CC48" s="27"/>
      <c r="CD48" s="28"/>
      <c r="CE48" s="29"/>
      <c r="CF48" s="27"/>
      <c r="CG48" s="28"/>
      <c r="CH48" s="29"/>
      <c r="CI48" s="27"/>
      <c r="CJ48" s="28"/>
      <c r="CK48" s="133"/>
      <c r="CL48" s="133"/>
    </row>
    <row r="49" spans="1:90" ht="20.100000000000001" customHeight="1" x14ac:dyDescent="0.25">
      <c r="A49" s="24"/>
      <c r="B49" s="24"/>
      <c r="C49" s="137">
        <v>48</v>
      </c>
      <c r="D49" s="138"/>
      <c r="E49" s="138"/>
      <c r="F49" s="139">
        <f t="shared" si="31"/>
        <v>0.99998842592592596</v>
      </c>
      <c r="G49" s="139">
        <f t="shared" si="32"/>
        <v>0</v>
      </c>
      <c r="H49" s="140">
        <f t="shared" si="33"/>
        <v>-0.99998842592592596</v>
      </c>
      <c r="I49" s="141">
        <f t="shared" si="34"/>
        <v>0</v>
      </c>
      <c r="J49" s="141">
        <f t="shared" si="35"/>
        <v>14</v>
      </c>
      <c r="K49" s="141">
        <f t="shared" si="36"/>
        <v>0</v>
      </c>
      <c r="L49" s="141" t="e">
        <f t="shared" si="37"/>
        <v>#N/A</v>
      </c>
      <c r="M49" s="141" t="e">
        <f t="shared" si="38"/>
        <v>#N/A</v>
      </c>
      <c r="N49" s="141" t="e">
        <f t="shared" si="39"/>
        <v>#N/A</v>
      </c>
      <c r="O49" s="142" t="e">
        <f t="shared" si="40"/>
        <v>#N/A</v>
      </c>
      <c r="P49" s="137">
        <f t="shared" si="41"/>
        <v>0</v>
      </c>
      <c r="Q49" s="137">
        <f t="shared" si="42"/>
        <v>0</v>
      </c>
      <c r="R49" s="137" t="e">
        <f t="shared" si="43"/>
        <v>#N/A</v>
      </c>
      <c r="S49" s="82"/>
      <c r="T49" s="83"/>
      <c r="U49" s="84"/>
      <c r="V49" s="85"/>
      <c r="W49" s="83"/>
      <c r="X49" s="84"/>
      <c r="Y49" s="85"/>
      <c r="Z49" s="83"/>
      <c r="AA49" s="84"/>
      <c r="AB49" s="85"/>
      <c r="AC49" s="83"/>
      <c r="AD49" s="84"/>
      <c r="AE49" s="85"/>
      <c r="AF49" s="83"/>
      <c r="AG49" s="84"/>
      <c r="AH49" s="85"/>
      <c r="AI49" s="83"/>
      <c r="AJ49" s="84"/>
      <c r="AK49" s="85"/>
      <c r="AL49" s="83"/>
      <c r="AM49" s="84"/>
      <c r="AN49" s="30">
        <f t="shared" si="13"/>
        <v>0</v>
      </c>
      <c r="AO49" s="82"/>
      <c r="AP49" s="83"/>
      <c r="AQ49" s="84"/>
      <c r="AR49" s="85"/>
      <c r="AS49" s="83"/>
      <c r="AT49" s="84"/>
      <c r="AU49" s="85"/>
      <c r="AV49" s="83"/>
      <c r="AW49" s="84"/>
      <c r="AX49" s="85"/>
      <c r="AY49" s="83"/>
      <c r="AZ49" s="84"/>
      <c r="BA49" s="85"/>
      <c r="BB49" s="83"/>
      <c r="BC49" s="84"/>
      <c r="BD49" s="85"/>
      <c r="BE49" s="83"/>
      <c r="BF49" s="84"/>
      <c r="BG49" s="85"/>
      <c r="BH49" s="83"/>
      <c r="BI49" s="84"/>
      <c r="BJ49" s="30">
        <f t="shared" si="44"/>
        <v>0</v>
      </c>
      <c r="BK49" s="30">
        <f t="shared" si="45"/>
        <v>0</v>
      </c>
      <c r="BL49" s="31"/>
      <c r="BM49" s="114"/>
      <c r="BN49" s="31"/>
      <c r="BP49" s="25"/>
      <c r="BQ49" s="27"/>
      <c r="BR49" s="28"/>
      <c r="BS49" s="29"/>
      <c r="BT49" s="27"/>
      <c r="BU49" s="28"/>
      <c r="BV49" s="29"/>
      <c r="BW49" s="27"/>
      <c r="BX49" s="28"/>
      <c r="BY49" s="29"/>
      <c r="BZ49" s="27"/>
      <c r="CA49" s="28"/>
      <c r="CB49" s="29"/>
      <c r="CC49" s="27"/>
      <c r="CD49" s="28"/>
      <c r="CE49" s="29"/>
      <c r="CF49" s="27"/>
      <c r="CG49" s="28"/>
      <c r="CH49" s="29"/>
      <c r="CI49" s="27"/>
      <c r="CJ49" s="28"/>
      <c r="CK49" s="133"/>
      <c r="CL49" s="133"/>
    </row>
    <row r="50" spans="1:90" ht="20.100000000000001" customHeight="1" x14ac:dyDescent="0.25">
      <c r="A50" s="24"/>
      <c r="B50" s="24"/>
      <c r="C50" s="137">
        <v>49</v>
      </c>
      <c r="D50" s="138"/>
      <c r="E50" s="138"/>
      <c r="F50" s="139">
        <f t="shared" si="31"/>
        <v>0.99998842592592596</v>
      </c>
      <c r="G50" s="139">
        <f t="shared" si="32"/>
        <v>0</v>
      </c>
      <c r="H50" s="140">
        <f t="shared" si="33"/>
        <v>-0.99998842592592596</v>
      </c>
      <c r="I50" s="141">
        <f t="shared" si="34"/>
        <v>0</v>
      </c>
      <c r="J50" s="141">
        <f t="shared" si="35"/>
        <v>14</v>
      </c>
      <c r="K50" s="141">
        <f t="shared" si="36"/>
        <v>0</v>
      </c>
      <c r="L50" s="141" t="e">
        <f t="shared" si="37"/>
        <v>#N/A</v>
      </c>
      <c r="M50" s="141" t="e">
        <f t="shared" si="38"/>
        <v>#N/A</v>
      </c>
      <c r="N50" s="141" t="e">
        <f t="shared" si="39"/>
        <v>#N/A</v>
      </c>
      <c r="O50" s="142" t="e">
        <f t="shared" si="40"/>
        <v>#N/A</v>
      </c>
      <c r="P50" s="137">
        <f t="shared" si="41"/>
        <v>0</v>
      </c>
      <c r="Q50" s="137">
        <f t="shared" si="42"/>
        <v>0</v>
      </c>
      <c r="R50" s="137" t="e">
        <f t="shared" si="43"/>
        <v>#N/A</v>
      </c>
      <c r="S50" s="82"/>
      <c r="T50" s="83"/>
      <c r="U50" s="84"/>
      <c r="V50" s="85"/>
      <c r="W50" s="83"/>
      <c r="X50" s="84"/>
      <c r="Y50" s="85"/>
      <c r="Z50" s="83"/>
      <c r="AA50" s="84"/>
      <c r="AB50" s="85"/>
      <c r="AC50" s="83"/>
      <c r="AD50" s="84"/>
      <c r="AE50" s="85"/>
      <c r="AF50" s="83"/>
      <c r="AG50" s="84"/>
      <c r="AH50" s="85"/>
      <c r="AI50" s="83"/>
      <c r="AJ50" s="84"/>
      <c r="AK50" s="85"/>
      <c r="AL50" s="83"/>
      <c r="AM50" s="84"/>
      <c r="AN50" s="30">
        <f t="shared" si="13"/>
        <v>0</v>
      </c>
      <c r="AO50" s="82"/>
      <c r="AP50" s="83"/>
      <c r="AQ50" s="84"/>
      <c r="AR50" s="85"/>
      <c r="AS50" s="83"/>
      <c r="AT50" s="84"/>
      <c r="AU50" s="85"/>
      <c r="AV50" s="83"/>
      <c r="AW50" s="84"/>
      <c r="AX50" s="85"/>
      <c r="AY50" s="83"/>
      <c r="AZ50" s="84"/>
      <c r="BA50" s="85"/>
      <c r="BB50" s="83"/>
      <c r="BC50" s="84"/>
      <c r="BD50" s="85"/>
      <c r="BE50" s="83"/>
      <c r="BF50" s="84"/>
      <c r="BG50" s="85"/>
      <c r="BH50" s="83"/>
      <c r="BI50" s="84"/>
      <c r="BJ50" s="30">
        <f t="shared" si="44"/>
        <v>0</v>
      </c>
      <c r="BK50" s="30">
        <f t="shared" si="45"/>
        <v>0</v>
      </c>
      <c r="BL50" s="31"/>
      <c r="BM50" s="114"/>
      <c r="BN50" s="31"/>
      <c r="BP50" s="25"/>
      <c r="BQ50" s="27"/>
      <c r="BR50" s="28"/>
      <c r="BS50" s="29"/>
      <c r="BT50" s="27"/>
      <c r="BU50" s="28"/>
      <c r="BV50" s="29"/>
      <c r="BW50" s="27"/>
      <c r="BX50" s="28"/>
      <c r="BY50" s="29"/>
      <c r="BZ50" s="27"/>
      <c r="CA50" s="28"/>
      <c r="CB50" s="29"/>
      <c r="CC50" s="27"/>
      <c r="CD50" s="28"/>
      <c r="CE50" s="29"/>
      <c r="CF50" s="27"/>
      <c r="CG50" s="28"/>
      <c r="CH50" s="29"/>
      <c r="CI50" s="27"/>
      <c r="CJ50" s="28"/>
      <c r="CK50" s="133"/>
      <c r="CL50" s="133"/>
    </row>
    <row r="51" spans="1:90" ht="20.100000000000001" customHeight="1" x14ac:dyDescent="0.25">
      <c r="A51" s="24"/>
      <c r="B51" s="24"/>
      <c r="C51" s="137">
        <v>50</v>
      </c>
      <c r="D51" s="138"/>
      <c r="E51" s="138"/>
      <c r="F51" s="139">
        <f t="shared" si="31"/>
        <v>0.99998842592592596</v>
      </c>
      <c r="G51" s="139">
        <f t="shared" si="32"/>
        <v>0</v>
      </c>
      <c r="H51" s="140">
        <f t="shared" si="33"/>
        <v>-0.99998842592592596</v>
      </c>
      <c r="I51" s="141">
        <f t="shared" si="34"/>
        <v>0</v>
      </c>
      <c r="J51" s="141">
        <f t="shared" si="35"/>
        <v>14</v>
      </c>
      <c r="K51" s="141">
        <f t="shared" si="36"/>
        <v>0</v>
      </c>
      <c r="L51" s="141" t="e">
        <f t="shared" si="37"/>
        <v>#N/A</v>
      </c>
      <c r="M51" s="141" t="e">
        <f t="shared" si="38"/>
        <v>#N/A</v>
      </c>
      <c r="N51" s="141" t="e">
        <f t="shared" si="39"/>
        <v>#N/A</v>
      </c>
      <c r="O51" s="142" t="e">
        <f t="shared" si="40"/>
        <v>#N/A</v>
      </c>
      <c r="P51" s="137">
        <f t="shared" si="41"/>
        <v>0</v>
      </c>
      <c r="Q51" s="137">
        <f t="shared" si="42"/>
        <v>0</v>
      </c>
      <c r="R51" s="137" t="e">
        <f t="shared" si="43"/>
        <v>#N/A</v>
      </c>
      <c r="S51" s="82"/>
      <c r="T51" s="83"/>
      <c r="U51" s="84"/>
      <c r="V51" s="85"/>
      <c r="W51" s="83"/>
      <c r="X51" s="84"/>
      <c r="Y51" s="85"/>
      <c r="Z51" s="83"/>
      <c r="AA51" s="84"/>
      <c r="AB51" s="85"/>
      <c r="AC51" s="83"/>
      <c r="AD51" s="84"/>
      <c r="AE51" s="85"/>
      <c r="AF51" s="83"/>
      <c r="AG51" s="84"/>
      <c r="AH51" s="85"/>
      <c r="AI51" s="83"/>
      <c r="AJ51" s="84"/>
      <c r="AK51" s="85"/>
      <c r="AL51" s="83"/>
      <c r="AM51" s="84"/>
      <c r="AN51" s="30">
        <f t="shared" si="13"/>
        <v>0</v>
      </c>
      <c r="AO51" s="82"/>
      <c r="AP51" s="83"/>
      <c r="AQ51" s="84"/>
      <c r="AR51" s="85"/>
      <c r="AS51" s="83"/>
      <c r="AT51" s="84"/>
      <c r="AU51" s="85"/>
      <c r="AV51" s="83"/>
      <c r="AW51" s="84"/>
      <c r="AX51" s="85"/>
      <c r="AY51" s="83"/>
      <c r="AZ51" s="84"/>
      <c r="BA51" s="85"/>
      <c r="BB51" s="83"/>
      <c r="BC51" s="84"/>
      <c r="BD51" s="85"/>
      <c r="BE51" s="83"/>
      <c r="BF51" s="84"/>
      <c r="BG51" s="85"/>
      <c r="BH51" s="83"/>
      <c r="BI51" s="84"/>
      <c r="BJ51" s="30">
        <f t="shared" si="44"/>
        <v>0</v>
      </c>
      <c r="BK51" s="30">
        <f t="shared" si="45"/>
        <v>0</v>
      </c>
      <c r="BL51" s="31"/>
      <c r="BM51" s="114"/>
      <c r="BN51" s="31"/>
      <c r="BP51" s="25"/>
      <c r="BQ51" s="27"/>
      <c r="BR51" s="28"/>
      <c r="BS51" s="29"/>
      <c r="BT51" s="27"/>
      <c r="BU51" s="28"/>
      <c r="BV51" s="29"/>
      <c r="BW51" s="27"/>
      <c r="BX51" s="28"/>
      <c r="BY51" s="29"/>
      <c r="BZ51" s="27"/>
      <c r="CA51" s="28"/>
      <c r="CB51" s="29"/>
      <c r="CC51" s="27"/>
      <c r="CD51" s="28"/>
      <c r="CE51" s="29"/>
      <c r="CF51" s="27"/>
      <c r="CG51" s="28"/>
      <c r="CH51" s="29"/>
      <c r="CI51" s="27"/>
      <c r="CJ51" s="28"/>
      <c r="CK51" s="133"/>
      <c r="CL51" s="133"/>
    </row>
    <row r="52" spans="1:90" ht="20.100000000000001" customHeight="1" x14ac:dyDescent="0.25">
      <c r="A52" s="24"/>
      <c r="B52" s="24"/>
      <c r="C52" s="137">
        <v>51</v>
      </c>
      <c r="D52" s="138"/>
      <c r="E52" s="138"/>
      <c r="F52" s="139">
        <f t="shared" si="31"/>
        <v>0.99998842592592596</v>
      </c>
      <c r="G52" s="139">
        <f t="shared" si="32"/>
        <v>0</v>
      </c>
      <c r="H52" s="140">
        <f t="shared" si="33"/>
        <v>-0.99998842592592596</v>
      </c>
      <c r="I52" s="141">
        <f t="shared" si="34"/>
        <v>0</v>
      </c>
      <c r="J52" s="141">
        <f t="shared" si="35"/>
        <v>14</v>
      </c>
      <c r="K52" s="141">
        <f t="shared" si="36"/>
        <v>0</v>
      </c>
      <c r="L52" s="141" t="e">
        <f t="shared" si="37"/>
        <v>#N/A</v>
      </c>
      <c r="M52" s="141" t="e">
        <f t="shared" si="38"/>
        <v>#N/A</v>
      </c>
      <c r="N52" s="141" t="e">
        <f t="shared" si="39"/>
        <v>#N/A</v>
      </c>
      <c r="O52" s="142" t="e">
        <f t="shared" si="40"/>
        <v>#N/A</v>
      </c>
      <c r="P52" s="137">
        <f t="shared" si="41"/>
        <v>0</v>
      </c>
      <c r="Q52" s="137">
        <f t="shared" si="42"/>
        <v>0</v>
      </c>
      <c r="R52" s="137" t="e">
        <f t="shared" si="43"/>
        <v>#N/A</v>
      </c>
      <c r="S52" s="82"/>
      <c r="T52" s="83"/>
      <c r="U52" s="84"/>
      <c r="V52" s="85"/>
      <c r="W52" s="83"/>
      <c r="X52" s="84"/>
      <c r="Y52" s="85"/>
      <c r="Z52" s="83"/>
      <c r="AA52" s="84"/>
      <c r="AB52" s="85"/>
      <c r="AC52" s="83"/>
      <c r="AD52" s="84"/>
      <c r="AE52" s="85"/>
      <c r="AF52" s="83"/>
      <c r="AG52" s="84"/>
      <c r="AH52" s="85"/>
      <c r="AI52" s="83"/>
      <c r="AJ52" s="84"/>
      <c r="AK52" s="85"/>
      <c r="AL52" s="83"/>
      <c r="AM52" s="84"/>
      <c r="AN52" s="30">
        <f t="shared" si="13"/>
        <v>0</v>
      </c>
      <c r="AO52" s="82"/>
      <c r="AP52" s="83"/>
      <c r="AQ52" s="84"/>
      <c r="AR52" s="85"/>
      <c r="AS52" s="83"/>
      <c r="AT52" s="84"/>
      <c r="AU52" s="85"/>
      <c r="AV52" s="83"/>
      <c r="AW52" s="84"/>
      <c r="AX52" s="85"/>
      <c r="AY52" s="83"/>
      <c r="AZ52" s="84"/>
      <c r="BA52" s="85"/>
      <c r="BB52" s="83"/>
      <c r="BC52" s="84"/>
      <c r="BD52" s="85"/>
      <c r="BE52" s="83"/>
      <c r="BF52" s="84"/>
      <c r="BG52" s="85"/>
      <c r="BH52" s="83"/>
      <c r="BI52" s="84"/>
      <c r="BJ52" s="30">
        <f t="shared" si="44"/>
        <v>0</v>
      </c>
      <c r="BK52" s="30">
        <f t="shared" si="45"/>
        <v>0</v>
      </c>
      <c r="BL52" s="31"/>
      <c r="BM52" s="114"/>
      <c r="BN52" s="31"/>
      <c r="BP52" s="25"/>
      <c r="BQ52" s="27"/>
      <c r="BR52" s="28"/>
      <c r="BS52" s="29"/>
      <c r="BT52" s="27"/>
      <c r="BU52" s="28"/>
      <c r="BV52" s="29"/>
      <c r="BW52" s="27"/>
      <c r="BX52" s="28"/>
      <c r="BY52" s="29"/>
      <c r="BZ52" s="27"/>
      <c r="CA52" s="28"/>
      <c r="CB52" s="29"/>
      <c r="CC52" s="27"/>
      <c r="CD52" s="28"/>
      <c r="CE52" s="29"/>
      <c r="CF52" s="27"/>
      <c r="CG52" s="28"/>
      <c r="CH52" s="29"/>
      <c r="CI52" s="27"/>
      <c r="CJ52" s="28"/>
      <c r="CK52" s="133"/>
      <c r="CL52" s="133"/>
    </row>
    <row r="53" spans="1:90" ht="20.100000000000001" customHeight="1" x14ac:dyDescent="0.25">
      <c r="A53" s="24"/>
      <c r="B53" s="24"/>
      <c r="C53" s="137">
        <v>52</v>
      </c>
      <c r="D53" s="138"/>
      <c r="E53" s="138"/>
      <c r="F53" s="139">
        <f t="shared" si="31"/>
        <v>0.99998842592592596</v>
      </c>
      <c r="G53" s="139">
        <f t="shared" si="32"/>
        <v>0</v>
      </c>
      <c r="H53" s="140">
        <f t="shared" si="33"/>
        <v>-0.99998842592592596</v>
      </c>
      <c r="I53" s="141">
        <f t="shared" si="34"/>
        <v>0</v>
      </c>
      <c r="J53" s="141">
        <f t="shared" si="35"/>
        <v>14</v>
      </c>
      <c r="K53" s="141">
        <f t="shared" si="36"/>
        <v>0</v>
      </c>
      <c r="L53" s="141" t="e">
        <f t="shared" si="37"/>
        <v>#N/A</v>
      </c>
      <c r="M53" s="141" t="e">
        <f t="shared" si="38"/>
        <v>#N/A</v>
      </c>
      <c r="N53" s="141" t="e">
        <f t="shared" si="39"/>
        <v>#N/A</v>
      </c>
      <c r="O53" s="142" t="e">
        <f t="shared" si="40"/>
        <v>#N/A</v>
      </c>
      <c r="P53" s="137">
        <f t="shared" si="41"/>
        <v>0</v>
      </c>
      <c r="Q53" s="137">
        <f t="shared" si="42"/>
        <v>0</v>
      </c>
      <c r="R53" s="137" t="e">
        <f t="shared" si="43"/>
        <v>#N/A</v>
      </c>
      <c r="S53" s="82"/>
      <c r="T53" s="83"/>
      <c r="U53" s="84"/>
      <c r="V53" s="85"/>
      <c r="W53" s="83"/>
      <c r="X53" s="84"/>
      <c r="Y53" s="85"/>
      <c r="Z53" s="83"/>
      <c r="AA53" s="84"/>
      <c r="AB53" s="85"/>
      <c r="AC53" s="83"/>
      <c r="AD53" s="84"/>
      <c r="AE53" s="85"/>
      <c r="AF53" s="83"/>
      <c r="AG53" s="84"/>
      <c r="AH53" s="85"/>
      <c r="AI53" s="83"/>
      <c r="AJ53" s="84"/>
      <c r="AK53" s="85"/>
      <c r="AL53" s="83"/>
      <c r="AM53" s="84"/>
      <c r="AN53" s="30">
        <f t="shared" si="13"/>
        <v>0</v>
      </c>
      <c r="AO53" s="82"/>
      <c r="AP53" s="83"/>
      <c r="AQ53" s="84"/>
      <c r="AR53" s="85"/>
      <c r="AS53" s="83"/>
      <c r="AT53" s="84"/>
      <c r="AU53" s="85"/>
      <c r="AV53" s="83"/>
      <c r="AW53" s="84"/>
      <c r="AX53" s="85"/>
      <c r="AY53" s="83"/>
      <c r="AZ53" s="84"/>
      <c r="BA53" s="85"/>
      <c r="BB53" s="83"/>
      <c r="BC53" s="84"/>
      <c r="BD53" s="85"/>
      <c r="BE53" s="83"/>
      <c r="BF53" s="84"/>
      <c r="BG53" s="85"/>
      <c r="BH53" s="83"/>
      <c r="BI53" s="84"/>
      <c r="BJ53" s="30">
        <f t="shared" si="44"/>
        <v>0</v>
      </c>
      <c r="BK53" s="30">
        <f t="shared" si="45"/>
        <v>0</v>
      </c>
      <c r="BL53" s="31"/>
      <c r="BM53" s="114"/>
      <c r="BN53" s="31"/>
      <c r="BP53" s="25"/>
      <c r="BQ53" s="27"/>
      <c r="BR53" s="28"/>
      <c r="BS53" s="29"/>
      <c r="BT53" s="27"/>
      <c r="BU53" s="28"/>
      <c r="BV53" s="29"/>
      <c r="BW53" s="27"/>
      <c r="BX53" s="28"/>
      <c r="BY53" s="29"/>
      <c r="BZ53" s="27"/>
      <c r="CA53" s="28"/>
      <c r="CB53" s="29"/>
      <c r="CC53" s="27"/>
      <c r="CD53" s="28"/>
      <c r="CE53" s="29"/>
      <c r="CF53" s="27"/>
      <c r="CG53" s="28"/>
      <c r="CH53" s="29"/>
      <c r="CI53" s="27"/>
      <c r="CJ53" s="28"/>
      <c r="CK53" s="133"/>
      <c r="CL53" s="133"/>
    </row>
    <row r="54" spans="1:90" ht="20.100000000000001" customHeight="1" x14ac:dyDescent="0.25">
      <c r="A54" s="24"/>
      <c r="B54" s="24"/>
      <c r="C54" s="137">
        <v>53</v>
      </c>
      <c r="D54" s="138"/>
      <c r="E54" s="138"/>
      <c r="F54" s="139">
        <f t="shared" si="31"/>
        <v>0.99998842592592596</v>
      </c>
      <c r="G54" s="139">
        <f t="shared" si="32"/>
        <v>0</v>
      </c>
      <c r="H54" s="140">
        <f t="shared" si="33"/>
        <v>-0.99998842592592596</v>
      </c>
      <c r="I54" s="141">
        <f t="shared" si="34"/>
        <v>0</v>
      </c>
      <c r="J54" s="141">
        <f t="shared" si="35"/>
        <v>14</v>
      </c>
      <c r="K54" s="141">
        <f t="shared" si="36"/>
        <v>0</v>
      </c>
      <c r="L54" s="141" t="e">
        <f t="shared" si="37"/>
        <v>#N/A</v>
      </c>
      <c r="M54" s="141" t="e">
        <f t="shared" si="38"/>
        <v>#N/A</v>
      </c>
      <c r="N54" s="141" t="e">
        <f t="shared" si="39"/>
        <v>#N/A</v>
      </c>
      <c r="O54" s="142" t="e">
        <f t="shared" si="40"/>
        <v>#N/A</v>
      </c>
      <c r="P54" s="137">
        <f t="shared" si="41"/>
        <v>0</v>
      </c>
      <c r="Q54" s="137">
        <f t="shared" si="42"/>
        <v>0</v>
      </c>
      <c r="R54" s="137" t="e">
        <f t="shared" si="43"/>
        <v>#N/A</v>
      </c>
      <c r="S54" s="82"/>
      <c r="T54" s="83"/>
      <c r="U54" s="84"/>
      <c r="V54" s="85"/>
      <c r="W54" s="83"/>
      <c r="X54" s="84"/>
      <c r="Y54" s="85"/>
      <c r="Z54" s="83"/>
      <c r="AA54" s="84"/>
      <c r="AB54" s="85"/>
      <c r="AC54" s="83"/>
      <c r="AD54" s="84"/>
      <c r="AE54" s="85"/>
      <c r="AF54" s="83"/>
      <c r="AG54" s="84"/>
      <c r="AH54" s="85"/>
      <c r="AI54" s="83"/>
      <c r="AJ54" s="84"/>
      <c r="AK54" s="85"/>
      <c r="AL54" s="83"/>
      <c r="AM54" s="84"/>
      <c r="AN54" s="30">
        <f t="shared" si="13"/>
        <v>0</v>
      </c>
      <c r="AO54" s="82"/>
      <c r="AP54" s="83"/>
      <c r="AQ54" s="84"/>
      <c r="AR54" s="85"/>
      <c r="AS54" s="83"/>
      <c r="AT54" s="84"/>
      <c r="AU54" s="85"/>
      <c r="AV54" s="83"/>
      <c r="AW54" s="84"/>
      <c r="AX54" s="85"/>
      <c r="AY54" s="83"/>
      <c r="AZ54" s="84"/>
      <c r="BA54" s="85"/>
      <c r="BB54" s="83"/>
      <c r="BC54" s="84"/>
      <c r="BD54" s="85"/>
      <c r="BE54" s="83"/>
      <c r="BF54" s="84"/>
      <c r="BG54" s="85"/>
      <c r="BH54" s="83"/>
      <c r="BI54" s="84"/>
      <c r="BJ54" s="30">
        <f t="shared" si="44"/>
        <v>0</v>
      </c>
      <c r="BK54" s="30">
        <f t="shared" si="45"/>
        <v>0</v>
      </c>
      <c r="BL54" s="31"/>
      <c r="BM54" s="114"/>
      <c r="BN54" s="31"/>
      <c r="BP54" s="25"/>
      <c r="BQ54" s="27"/>
      <c r="BR54" s="28"/>
      <c r="BS54" s="29"/>
      <c r="BT54" s="27"/>
      <c r="BU54" s="28"/>
      <c r="BV54" s="29"/>
      <c r="BW54" s="27"/>
      <c r="BX54" s="28"/>
      <c r="BY54" s="29"/>
      <c r="BZ54" s="27"/>
      <c r="CA54" s="28"/>
      <c r="CB54" s="29"/>
      <c r="CC54" s="27"/>
      <c r="CD54" s="28"/>
      <c r="CE54" s="29"/>
      <c r="CF54" s="27"/>
      <c r="CG54" s="28"/>
      <c r="CH54" s="29"/>
      <c r="CI54" s="27"/>
      <c r="CJ54" s="28"/>
      <c r="CK54" s="133"/>
      <c r="CL54" s="133"/>
    </row>
    <row r="55" spans="1:90" ht="20.100000000000001" customHeight="1" x14ac:dyDescent="0.25">
      <c r="A55" s="24"/>
      <c r="B55" s="24"/>
      <c r="C55" s="137">
        <v>54</v>
      </c>
      <c r="D55" s="138"/>
      <c r="E55" s="138"/>
      <c r="F55" s="139">
        <f t="shared" si="31"/>
        <v>0.99998842592592596</v>
      </c>
      <c r="G55" s="139">
        <f t="shared" si="32"/>
        <v>0</v>
      </c>
      <c r="H55" s="140">
        <f t="shared" si="33"/>
        <v>-0.99998842592592596</v>
      </c>
      <c r="I55" s="141">
        <f t="shared" si="34"/>
        <v>0</v>
      </c>
      <c r="J55" s="141">
        <f t="shared" si="35"/>
        <v>14</v>
      </c>
      <c r="K55" s="141">
        <f t="shared" si="36"/>
        <v>0</v>
      </c>
      <c r="L55" s="141" t="e">
        <f t="shared" si="37"/>
        <v>#N/A</v>
      </c>
      <c r="M55" s="141" t="e">
        <f t="shared" si="38"/>
        <v>#N/A</v>
      </c>
      <c r="N55" s="141" t="e">
        <f t="shared" si="39"/>
        <v>#N/A</v>
      </c>
      <c r="O55" s="142" t="e">
        <f t="shared" si="40"/>
        <v>#N/A</v>
      </c>
      <c r="P55" s="137">
        <f t="shared" si="41"/>
        <v>0</v>
      </c>
      <c r="Q55" s="137">
        <f t="shared" si="42"/>
        <v>0</v>
      </c>
      <c r="R55" s="137" t="e">
        <f t="shared" si="43"/>
        <v>#N/A</v>
      </c>
      <c r="S55" s="82"/>
      <c r="T55" s="83"/>
      <c r="U55" s="84"/>
      <c r="V55" s="85"/>
      <c r="W55" s="83"/>
      <c r="X55" s="84"/>
      <c r="Y55" s="85"/>
      <c r="Z55" s="83"/>
      <c r="AA55" s="84"/>
      <c r="AB55" s="85"/>
      <c r="AC55" s="83"/>
      <c r="AD55" s="84"/>
      <c r="AE55" s="85"/>
      <c r="AF55" s="83"/>
      <c r="AG55" s="84"/>
      <c r="AH55" s="85"/>
      <c r="AI55" s="83"/>
      <c r="AJ55" s="84"/>
      <c r="AK55" s="85"/>
      <c r="AL55" s="83"/>
      <c r="AM55" s="84"/>
      <c r="AN55" s="30">
        <f t="shared" si="13"/>
        <v>0</v>
      </c>
      <c r="AO55" s="82"/>
      <c r="AP55" s="83"/>
      <c r="AQ55" s="84"/>
      <c r="AR55" s="85"/>
      <c r="AS55" s="83"/>
      <c r="AT55" s="84"/>
      <c r="AU55" s="85"/>
      <c r="AV55" s="83"/>
      <c r="AW55" s="84"/>
      <c r="AX55" s="85"/>
      <c r="AY55" s="83"/>
      <c r="AZ55" s="84"/>
      <c r="BA55" s="85"/>
      <c r="BB55" s="83"/>
      <c r="BC55" s="84"/>
      <c r="BD55" s="85"/>
      <c r="BE55" s="83"/>
      <c r="BF55" s="84"/>
      <c r="BG55" s="85"/>
      <c r="BH55" s="83"/>
      <c r="BI55" s="84"/>
      <c r="BJ55" s="30">
        <f t="shared" si="44"/>
        <v>0</v>
      </c>
      <c r="BK55" s="30">
        <f t="shared" si="45"/>
        <v>0</v>
      </c>
      <c r="BL55" s="31"/>
      <c r="BM55" s="114"/>
      <c r="BN55" s="31"/>
      <c r="BP55" s="25"/>
      <c r="BQ55" s="27"/>
      <c r="BR55" s="28"/>
      <c r="BS55" s="29"/>
      <c r="BT55" s="27"/>
      <c r="BU55" s="28"/>
      <c r="BV55" s="29"/>
      <c r="BW55" s="27"/>
      <c r="BX55" s="28"/>
      <c r="BY55" s="29"/>
      <c r="BZ55" s="27"/>
      <c r="CA55" s="28"/>
      <c r="CB55" s="29"/>
      <c r="CC55" s="27"/>
      <c r="CD55" s="28"/>
      <c r="CE55" s="29"/>
      <c r="CF55" s="27"/>
      <c r="CG55" s="28"/>
      <c r="CH55" s="29"/>
      <c r="CI55" s="27"/>
      <c r="CJ55" s="28"/>
      <c r="CK55" s="133"/>
      <c r="CL55" s="133"/>
    </row>
    <row r="56" spans="1:90" ht="20.100000000000001" customHeight="1" x14ac:dyDescent="0.25">
      <c r="A56" s="24"/>
      <c r="B56" s="24"/>
      <c r="C56" s="137">
        <v>55</v>
      </c>
      <c r="D56" s="138"/>
      <c r="E56" s="138"/>
      <c r="F56" s="139">
        <f t="shared" si="31"/>
        <v>0.99998842592592596</v>
      </c>
      <c r="G56" s="139">
        <f t="shared" si="32"/>
        <v>0</v>
      </c>
      <c r="H56" s="140">
        <f t="shared" si="33"/>
        <v>-0.99998842592592596</v>
      </c>
      <c r="I56" s="141">
        <f t="shared" si="34"/>
        <v>0</v>
      </c>
      <c r="J56" s="141">
        <f t="shared" si="35"/>
        <v>14</v>
      </c>
      <c r="K56" s="141">
        <f t="shared" si="36"/>
        <v>0</v>
      </c>
      <c r="L56" s="141" t="e">
        <f t="shared" si="37"/>
        <v>#N/A</v>
      </c>
      <c r="M56" s="141" t="e">
        <f t="shared" si="38"/>
        <v>#N/A</v>
      </c>
      <c r="N56" s="141" t="e">
        <f t="shared" si="39"/>
        <v>#N/A</v>
      </c>
      <c r="O56" s="142" t="e">
        <f t="shared" si="40"/>
        <v>#N/A</v>
      </c>
      <c r="P56" s="137">
        <f t="shared" si="41"/>
        <v>0</v>
      </c>
      <c r="Q56" s="137">
        <f t="shared" si="42"/>
        <v>0</v>
      </c>
      <c r="R56" s="137" t="e">
        <f t="shared" si="43"/>
        <v>#N/A</v>
      </c>
      <c r="S56" s="82"/>
      <c r="T56" s="83"/>
      <c r="U56" s="84"/>
      <c r="V56" s="85"/>
      <c r="W56" s="83"/>
      <c r="X56" s="84"/>
      <c r="Y56" s="85"/>
      <c r="Z56" s="83"/>
      <c r="AA56" s="84"/>
      <c r="AB56" s="85"/>
      <c r="AC56" s="83"/>
      <c r="AD56" s="84"/>
      <c r="AE56" s="85"/>
      <c r="AF56" s="83"/>
      <c r="AG56" s="84"/>
      <c r="AH56" s="85"/>
      <c r="AI56" s="83"/>
      <c r="AJ56" s="84"/>
      <c r="AK56" s="85"/>
      <c r="AL56" s="83"/>
      <c r="AM56" s="84"/>
      <c r="AN56" s="30">
        <f t="shared" si="13"/>
        <v>0</v>
      </c>
      <c r="AO56" s="82"/>
      <c r="AP56" s="83"/>
      <c r="AQ56" s="84"/>
      <c r="AR56" s="85"/>
      <c r="AS56" s="83"/>
      <c r="AT56" s="84"/>
      <c r="AU56" s="85"/>
      <c r="AV56" s="83"/>
      <c r="AW56" s="84"/>
      <c r="AX56" s="85"/>
      <c r="AY56" s="83"/>
      <c r="AZ56" s="84"/>
      <c r="BA56" s="85"/>
      <c r="BB56" s="83"/>
      <c r="BC56" s="84"/>
      <c r="BD56" s="85"/>
      <c r="BE56" s="83"/>
      <c r="BF56" s="84"/>
      <c r="BG56" s="85"/>
      <c r="BH56" s="83"/>
      <c r="BI56" s="84"/>
      <c r="BJ56" s="30">
        <f t="shared" si="44"/>
        <v>0</v>
      </c>
      <c r="BK56" s="30">
        <f t="shared" si="45"/>
        <v>0</v>
      </c>
      <c r="BL56" s="31"/>
      <c r="BM56" s="114"/>
      <c r="BN56" s="31"/>
      <c r="BP56" s="25"/>
      <c r="BQ56" s="27"/>
      <c r="BR56" s="28"/>
      <c r="BS56" s="29"/>
      <c r="BT56" s="27"/>
      <c r="BU56" s="28"/>
      <c r="BV56" s="29"/>
      <c r="BW56" s="27"/>
      <c r="BX56" s="28"/>
      <c r="BY56" s="29"/>
      <c r="BZ56" s="27"/>
      <c r="CA56" s="28"/>
      <c r="CB56" s="29"/>
      <c r="CC56" s="27"/>
      <c r="CD56" s="28"/>
      <c r="CE56" s="29"/>
      <c r="CF56" s="27"/>
      <c r="CG56" s="28"/>
      <c r="CH56" s="29"/>
      <c r="CI56" s="27"/>
      <c r="CJ56" s="28"/>
      <c r="CK56" s="133"/>
      <c r="CL56" s="133"/>
    </row>
    <row r="57" spans="1:90" ht="20.100000000000001" customHeight="1" x14ac:dyDescent="0.25">
      <c r="A57" s="24"/>
      <c r="B57" s="24"/>
      <c r="C57" s="137">
        <v>56</v>
      </c>
      <c r="D57" s="138"/>
      <c r="E57" s="138"/>
      <c r="F57" s="139">
        <f t="shared" si="31"/>
        <v>0.99998842592592596</v>
      </c>
      <c r="G57" s="139">
        <f t="shared" si="32"/>
        <v>0</v>
      </c>
      <c r="H57" s="140">
        <f t="shared" si="33"/>
        <v>-0.99998842592592596</v>
      </c>
      <c r="I57" s="141">
        <f t="shared" si="34"/>
        <v>0</v>
      </c>
      <c r="J57" s="141">
        <f t="shared" si="35"/>
        <v>14</v>
      </c>
      <c r="K57" s="141">
        <f t="shared" si="36"/>
        <v>0</v>
      </c>
      <c r="L57" s="141" t="e">
        <f t="shared" si="37"/>
        <v>#N/A</v>
      </c>
      <c r="M57" s="141" t="e">
        <f t="shared" si="38"/>
        <v>#N/A</v>
      </c>
      <c r="N57" s="141" t="e">
        <f t="shared" si="39"/>
        <v>#N/A</v>
      </c>
      <c r="O57" s="142" t="e">
        <f t="shared" si="40"/>
        <v>#N/A</v>
      </c>
      <c r="P57" s="137">
        <f t="shared" si="41"/>
        <v>0</v>
      </c>
      <c r="Q57" s="137">
        <f t="shared" si="42"/>
        <v>0</v>
      </c>
      <c r="R57" s="137" t="e">
        <f t="shared" si="43"/>
        <v>#N/A</v>
      </c>
      <c r="S57" s="82"/>
      <c r="T57" s="83"/>
      <c r="U57" s="84"/>
      <c r="V57" s="85"/>
      <c r="W57" s="83"/>
      <c r="X57" s="84"/>
      <c r="Y57" s="85"/>
      <c r="Z57" s="83"/>
      <c r="AA57" s="84"/>
      <c r="AB57" s="85"/>
      <c r="AC57" s="83"/>
      <c r="AD57" s="84"/>
      <c r="AE57" s="85"/>
      <c r="AF57" s="83"/>
      <c r="AG57" s="84"/>
      <c r="AH57" s="85"/>
      <c r="AI57" s="83"/>
      <c r="AJ57" s="84"/>
      <c r="AK57" s="85"/>
      <c r="AL57" s="83"/>
      <c r="AM57" s="84"/>
      <c r="AN57" s="30">
        <f t="shared" si="13"/>
        <v>0</v>
      </c>
      <c r="AO57" s="82"/>
      <c r="AP57" s="83"/>
      <c r="AQ57" s="84"/>
      <c r="AR57" s="85"/>
      <c r="AS57" s="83"/>
      <c r="AT57" s="84"/>
      <c r="AU57" s="85"/>
      <c r="AV57" s="83"/>
      <c r="AW57" s="84"/>
      <c r="AX57" s="85"/>
      <c r="AY57" s="83"/>
      <c r="AZ57" s="84"/>
      <c r="BA57" s="85"/>
      <c r="BB57" s="83"/>
      <c r="BC57" s="84"/>
      <c r="BD57" s="85"/>
      <c r="BE57" s="83"/>
      <c r="BF57" s="84"/>
      <c r="BG57" s="85"/>
      <c r="BH57" s="83"/>
      <c r="BI57" s="84"/>
      <c r="BJ57" s="30">
        <f t="shared" si="44"/>
        <v>0</v>
      </c>
      <c r="BK57" s="30">
        <f t="shared" si="45"/>
        <v>0</v>
      </c>
      <c r="BL57" s="31"/>
      <c r="BM57" s="114"/>
      <c r="BN57" s="31"/>
      <c r="BP57" s="25"/>
      <c r="BQ57" s="27"/>
      <c r="BR57" s="28"/>
      <c r="BS57" s="29"/>
      <c r="BT57" s="27"/>
      <c r="BU57" s="28"/>
      <c r="BV57" s="29"/>
      <c r="BW57" s="27"/>
      <c r="BX57" s="28"/>
      <c r="BY57" s="29"/>
      <c r="BZ57" s="27"/>
      <c r="CA57" s="28"/>
      <c r="CB57" s="29"/>
      <c r="CC57" s="27"/>
      <c r="CD57" s="28"/>
      <c r="CE57" s="29"/>
      <c r="CF57" s="27"/>
      <c r="CG57" s="28"/>
      <c r="CH57" s="29"/>
      <c r="CI57" s="27"/>
      <c r="CJ57" s="28"/>
      <c r="CK57" s="133"/>
      <c r="CL57" s="133"/>
    </row>
    <row r="58" spans="1:90" ht="20.100000000000001" customHeight="1" x14ac:dyDescent="0.25">
      <c r="A58" s="24"/>
      <c r="B58" s="24"/>
      <c r="C58" s="137">
        <v>57</v>
      </c>
      <c r="D58" s="138"/>
      <c r="E58" s="138"/>
      <c r="F58" s="139">
        <f t="shared" si="31"/>
        <v>0.99998842592592596</v>
      </c>
      <c r="G58" s="139">
        <f t="shared" si="32"/>
        <v>0</v>
      </c>
      <c r="H58" s="140">
        <f t="shared" si="33"/>
        <v>-0.99998842592592596</v>
      </c>
      <c r="I58" s="141">
        <f t="shared" si="34"/>
        <v>0</v>
      </c>
      <c r="J58" s="141">
        <f t="shared" si="35"/>
        <v>14</v>
      </c>
      <c r="K58" s="141">
        <f t="shared" si="36"/>
        <v>0</v>
      </c>
      <c r="L58" s="141" t="e">
        <f t="shared" si="37"/>
        <v>#N/A</v>
      </c>
      <c r="M58" s="141" t="e">
        <f t="shared" si="38"/>
        <v>#N/A</v>
      </c>
      <c r="N58" s="141" t="e">
        <f t="shared" si="39"/>
        <v>#N/A</v>
      </c>
      <c r="O58" s="142" t="e">
        <f t="shared" si="40"/>
        <v>#N/A</v>
      </c>
      <c r="P58" s="137">
        <f t="shared" si="41"/>
        <v>0</v>
      </c>
      <c r="Q58" s="137">
        <f t="shared" si="42"/>
        <v>0</v>
      </c>
      <c r="R58" s="137" t="e">
        <f t="shared" si="43"/>
        <v>#N/A</v>
      </c>
      <c r="S58" s="82"/>
      <c r="T58" s="83"/>
      <c r="U58" s="84"/>
      <c r="V58" s="85"/>
      <c r="W58" s="83"/>
      <c r="X58" s="84"/>
      <c r="Y58" s="85"/>
      <c r="Z58" s="83"/>
      <c r="AA58" s="84"/>
      <c r="AB58" s="85"/>
      <c r="AC58" s="83"/>
      <c r="AD58" s="84"/>
      <c r="AE58" s="85"/>
      <c r="AF58" s="83"/>
      <c r="AG58" s="84"/>
      <c r="AH58" s="85"/>
      <c r="AI58" s="83"/>
      <c r="AJ58" s="84"/>
      <c r="AK58" s="85"/>
      <c r="AL58" s="83"/>
      <c r="AM58" s="84"/>
      <c r="AN58" s="30">
        <f t="shared" si="13"/>
        <v>0</v>
      </c>
      <c r="AO58" s="82"/>
      <c r="AP58" s="83"/>
      <c r="AQ58" s="84"/>
      <c r="AR58" s="85"/>
      <c r="AS58" s="83"/>
      <c r="AT58" s="84"/>
      <c r="AU58" s="85"/>
      <c r="AV58" s="83"/>
      <c r="AW58" s="84"/>
      <c r="AX58" s="85"/>
      <c r="AY58" s="83"/>
      <c r="AZ58" s="84"/>
      <c r="BA58" s="85"/>
      <c r="BB58" s="83"/>
      <c r="BC58" s="84"/>
      <c r="BD58" s="85"/>
      <c r="BE58" s="83"/>
      <c r="BF58" s="84"/>
      <c r="BG58" s="85"/>
      <c r="BH58" s="83"/>
      <c r="BI58" s="84"/>
      <c r="BJ58" s="30">
        <f t="shared" si="44"/>
        <v>0</v>
      </c>
      <c r="BK58" s="30">
        <f t="shared" si="45"/>
        <v>0</v>
      </c>
      <c r="BL58" s="31"/>
      <c r="BM58" s="114"/>
      <c r="BN58" s="31"/>
      <c r="BP58" s="25"/>
      <c r="BQ58" s="27"/>
      <c r="BR58" s="28"/>
      <c r="BS58" s="29"/>
      <c r="BT58" s="27"/>
      <c r="BU58" s="28"/>
      <c r="BV58" s="29"/>
      <c r="BW58" s="27"/>
      <c r="BX58" s="28"/>
      <c r="BY58" s="29"/>
      <c r="BZ58" s="27"/>
      <c r="CA58" s="28"/>
      <c r="CB58" s="29"/>
      <c r="CC58" s="27"/>
      <c r="CD58" s="28"/>
      <c r="CE58" s="29"/>
      <c r="CF58" s="27"/>
      <c r="CG58" s="28"/>
      <c r="CH58" s="29"/>
      <c r="CI58" s="27"/>
      <c r="CJ58" s="28"/>
      <c r="CK58" s="133"/>
      <c r="CL58" s="133"/>
    </row>
    <row r="59" spans="1:90" ht="20.100000000000001" customHeight="1" x14ac:dyDescent="0.25">
      <c r="A59" s="24"/>
      <c r="B59" s="24"/>
      <c r="C59" s="137">
        <v>58</v>
      </c>
      <c r="D59" s="138"/>
      <c r="E59" s="138"/>
      <c r="F59" s="139">
        <f t="shared" si="31"/>
        <v>0.99998842592592596</v>
      </c>
      <c r="G59" s="139">
        <f t="shared" si="32"/>
        <v>0</v>
      </c>
      <c r="H59" s="140">
        <f t="shared" si="33"/>
        <v>-0.99998842592592596</v>
      </c>
      <c r="I59" s="141">
        <f t="shared" si="34"/>
        <v>0</v>
      </c>
      <c r="J59" s="141">
        <f t="shared" si="35"/>
        <v>14</v>
      </c>
      <c r="K59" s="141">
        <f t="shared" si="36"/>
        <v>0</v>
      </c>
      <c r="L59" s="141" t="e">
        <f t="shared" si="37"/>
        <v>#N/A</v>
      </c>
      <c r="M59" s="141" t="e">
        <f t="shared" si="38"/>
        <v>#N/A</v>
      </c>
      <c r="N59" s="141" t="e">
        <f t="shared" si="39"/>
        <v>#N/A</v>
      </c>
      <c r="O59" s="142" t="e">
        <f t="shared" si="40"/>
        <v>#N/A</v>
      </c>
      <c r="P59" s="137">
        <f t="shared" si="41"/>
        <v>0</v>
      </c>
      <c r="Q59" s="137">
        <f t="shared" si="42"/>
        <v>0</v>
      </c>
      <c r="R59" s="137" t="e">
        <f t="shared" si="43"/>
        <v>#N/A</v>
      </c>
      <c r="S59" s="82"/>
      <c r="T59" s="83"/>
      <c r="U59" s="84"/>
      <c r="V59" s="85"/>
      <c r="W59" s="83"/>
      <c r="X59" s="84"/>
      <c r="Y59" s="85"/>
      <c r="Z59" s="83"/>
      <c r="AA59" s="84"/>
      <c r="AB59" s="85"/>
      <c r="AC59" s="83"/>
      <c r="AD59" s="84"/>
      <c r="AE59" s="85"/>
      <c r="AF59" s="83"/>
      <c r="AG59" s="84"/>
      <c r="AH59" s="85"/>
      <c r="AI59" s="83"/>
      <c r="AJ59" s="84"/>
      <c r="AK59" s="85"/>
      <c r="AL59" s="83"/>
      <c r="AM59" s="84"/>
      <c r="AN59" s="30">
        <f t="shared" si="13"/>
        <v>0</v>
      </c>
      <c r="AO59" s="82"/>
      <c r="AP59" s="83"/>
      <c r="AQ59" s="84"/>
      <c r="AR59" s="85"/>
      <c r="AS59" s="83"/>
      <c r="AT59" s="84"/>
      <c r="AU59" s="85"/>
      <c r="AV59" s="83"/>
      <c r="AW59" s="84"/>
      <c r="AX59" s="85"/>
      <c r="AY59" s="83"/>
      <c r="AZ59" s="84"/>
      <c r="BA59" s="85"/>
      <c r="BB59" s="83"/>
      <c r="BC59" s="84"/>
      <c r="BD59" s="85"/>
      <c r="BE59" s="83"/>
      <c r="BF59" s="84"/>
      <c r="BG59" s="85"/>
      <c r="BH59" s="83"/>
      <c r="BI59" s="84"/>
      <c r="BJ59" s="30">
        <f t="shared" si="44"/>
        <v>0</v>
      </c>
      <c r="BK59" s="30">
        <f t="shared" si="45"/>
        <v>0</v>
      </c>
      <c r="BL59" s="31"/>
      <c r="BM59" s="114"/>
      <c r="BN59" s="31"/>
      <c r="BP59" s="25"/>
      <c r="BQ59" s="27"/>
      <c r="BR59" s="28"/>
      <c r="BS59" s="29"/>
      <c r="BT59" s="27"/>
      <c r="BU59" s="28"/>
      <c r="BV59" s="29"/>
      <c r="BW59" s="27"/>
      <c r="BX59" s="28"/>
      <c r="BY59" s="29"/>
      <c r="BZ59" s="27"/>
      <c r="CA59" s="28"/>
      <c r="CB59" s="29"/>
      <c r="CC59" s="27"/>
      <c r="CD59" s="28"/>
      <c r="CE59" s="29"/>
      <c r="CF59" s="27"/>
      <c r="CG59" s="28"/>
      <c r="CH59" s="29"/>
      <c r="CI59" s="27"/>
      <c r="CJ59" s="28"/>
      <c r="CK59" s="133"/>
      <c r="CL59" s="133"/>
    </row>
    <row r="60" spans="1:90" ht="20.100000000000001" customHeight="1" x14ac:dyDescent="0.25">
      <c r="A60" s="24"/>
      <c r="B60" s="24"/>
      <c r="C60" s="137">
        <v>59</v>
      </c>
      <c r="D60" s="138"/>
      <c r="E60" s="138"/>
      <c r="F60" s="139">
        <f t="shared" si="31"/>
        <v>0.99998842592592596</v>
      </c>
      <c r="G60" s="139">
        <f t="shared" si="32"/>
        <v>0</v>
      </c>
      <c r="H60" s="140">
        <f t="shared" si="33"/>
        <v>-0.99998842592592596</v>
      </c>
      <c r="I60" s="141">
        <f t="shared" si="34"/>
        <v>0</v>
      </c>
      <c r="J60" s="141">
        <f t="shared" si="35"/>
        <v>14</v>
      </c>
      <c r="K60" s="141">
        <f t="shared" si="36"/>
        <v>0</v>
      </c>
      <c r="L60" s="141" t="e">
        <f t="shared" si="37"/>
        <v>#N/A</v>
      </c>
      <c r="M60" s="141" t="e">
        <f t="shared" si="38"/>
        <v>#N/A</v>
      </c>
      <c r="N60" s="141" t="e">
        <f t="shared" si="39"/>
        <v>#N/A</v>
      </c>
      <c r="O60" s="142" t="e">
        <f t="shared" si="40"/>
        <v>#N/A</v>
      </c>
      <c r="P60" s="137">
        <f t="shared" si="41"/>
        <v>0</v>
      </c>
      <c r="Q60" s="137">
        <f t="shared" si="42"/>
        <v>0</v>
      </c>
      <c r="R60" s="137" t="e">
        <f t="shared" si="43"/>
        <v>#N/A</v>
      </c>
      <c r="S60" s="82"/>
      <c r="T60" s="83"/>
      <c r="U60" s="84"/>
      <c r="V60" s="85"/>
      <c r="W60" s="83"/>
      <c r="X60" s="84"/>
      <c r="Y60" s="85"/>
      <c r="Z60" s="83"/>
      <c r="AA60" s="84"/>
      <c r="AB60" s="85"/>
      <c r="AC60" s="83"/>
      <c r="AD60" s="84"/>
      <c r="AE60" s="85"/>
      <c r="AF60" s="83"/>
      <c r="AG60" s="84"/>
      <c r="AH60" s="85"/>
      <c r="AI60" s="83"/>
      <c r="AJ60" s="84"/>
      <c r="AK60" s="85"/>
      <c r="AL60" s="83"/>
      <c r="AM60" s="84"/>
      <c r="AN60" s="30">
        <f t="shared" si="13"/>
        <v>0</v>
      </c>
      <c r="AO60" s="82"/>
      <c r="AP60" s="83"/>
      <c r="AQ60" s="84"/>
      <c r="AR60" s="85"/>
      <c r="AS60" s="83"/>
      <c r="AT60" s="84"/>
      <c r="AU60" s="85"/>
      <c r="AV60" s="83"/>
      <c r="AW60" s="84"/>
      <c r="AX60" s="85"/>
      <c r="AY60" s="83"/>
      <c r="AZ60" s="84"/>
      <c r="BA60" s="85"/>
      <c r="BB60" s="83"/>
      <c r="BC60" s="84"/>
      <c r="BD60" s="85"/>
      <c r="BE60" s="83"/>
      <c r="BF60" s="84"/>
      <c r="BG60" s="85"/>
      <c r="BH60" s="83"/>
      <c r="BI60" s="84"/>
      <c r="BJ60" s="30">
        <f t="shared" si="44"/>
        <v>0</v>
      </c>
      <c r="BK60" s="30">
        <f t="shared" si="45"/>
        <v>0</v>
      </c>
      <c r="BL60" s="31"/>
      <c r="BM60" s="114"/>
      <c r="BN60" s="31"/>
      <c r="BP60" s="25"/>
      <c r="BQ60" s="27"/>
      <c r="BR60" s="28"/>
      <c r="BS60" s="29"/>
      <c r="BT60" s="27"/>
      <c r="BU60" s="28"/>
      <c r="BV60" s="29"/>
      <c r="BW60" s="27"/>
      <c r="BX60" s="28"/>
      <c r="BY60" s="29"/>
      <c r="BZ60" s="27"/>
      <c r="CA60" s="28"/>
      <c r="CB60" s="29"/>
      <c r="CC60" s="27"/>
      <c r="CD60" s="28"/>
      <c r="CE60" s="29"/>
      <c r="CF60" s="27"/>
      <c r="CG60" s="28"/>
      <c r="CH60" s="29"/>
      <c r="CI60" s="27"/>
      <c r="CJ60" s="28"/>
      <c r="CK60" s="133"/>
      <c r="CL60" s="133"/>
    </row>
    <row r="61" spans="1:90" ht="20.100000000000001" customHeight="1" x14ac:dyDescent="0.25">
      <c r="A61" s="24"/>
      <c r="B61" s="24"/>
      <c r="C61" s="137">
        <v>60</v>
      </c>
      <c r="D61" s="138"/>
      <c r="E61" s="138"/>
      <c r="F61" s="139">
        <f t="shared" si="31"/>
        <v>0.99998842592592596</v>
      </c>
      <c r="G61" s="139">
        <f t="shared" si="32"/>
        <v>0</v>
      </c>
      <c r="H61" s="140">
        <f t="shared" si="33"/>
        <v>-0.99998842592592596</v>
      </c>
      <c r="I61" s="141">
        <f t="shared" si="34"/>
        <v>0</v>
      </c>
      <c r="J61" s="141">
        <f t="shared" si="35"/>
        <v>14</v>
      </c>
      <c r="K61" s="141">
        <f t="shared" si="36"/>
        <v>0</v>
      </c>
      <c r="L61" s="141" t="e">
        <f t="shared" si="37"/>
        <v>#N/A</v>
      </c>
      <c r="M61" s="141" t="e">
        <f t="shared" si="38"/>
        <v>#N/A</v>
      </c>
      <c r="N61" s="141" t="e">
        <f t="shared" si="39"/>
        <v>#N/A</v>
      </c>
      <c r="O61" s="142" t="e">
        <f t="shared" si="40"/>
        <v>#N/A</v>
      </c>
      <c r="P61" s="137">
        <f t="shared" si="41"/>
        <v>0</v>
      </c>
      <c r="Q61" s="137">
        <f t="shared" si="42"/>
        <v>0</v>
      </c>
      <c r="R61" s="137" t="e">
        <f t="shared" si="43"/>
        <v>#N/A</v>
      </c>
      <c r="S61" s="82"/>
      <c r="T61" s="83"/>
      <c r="U61" s="84"/>
      <c r="V61" s="85"/>
      <c r="W61" s="83"/>
      <c r="X61" s="84"/>
      <c r="Y61" s="85"/>
      <c r="Z61" s="83"/>
      <c r="AA61" s="84"/>
      <c r="AB61" s="85"/>
      <c r="AC61" s="83"/>
      <c r="AD61" s="84"/>
      <c r="AE61" s="85"/>
      <c r="AF61" s="83"/>
      <c r="AG61" s="84"/>
      <c r="AH61" s="85"/>
      <c r="AI61" s="83"/>
      <c r="AJ61" s="84"/>
      <c r="AK61" s="85"/>
      <c r="AL61" s="83"/>
      <c r="AM61" s="84"/>
      <c r="AN61" s="30">
        <f t="shared" si="13"/>
        <v>0</v>
      </c>
      <c r="AO61" s="82"/>
      <c r="AP61" s="83"/>
      <c r="AQ61" s="84"/>
      <c r="AR61" s="85"/>
      <c r="AS61" s="83"/>
      <c r="AT61" s="84"/>
      <c r="AU61" s="85"/>
      <c r="AV61" s="83"/>
      <c r="AW61" s="84"/>
      <c r="AX61" s="85"/>
      <c r="AY61" s="83"/>
      <c r="AZ61" s="84"/>
      <c r="BA61" s="85"/>
      <c r="BB61" s="83"/>
      <c r="BC61" s="84"/>
      <c r="BD61" s="85"/>
      <c r="BE61" s="83"/>
      <c r="BF61" s="84"/>
      <c r="BG61" s="85"/>
      <c r="BH61" s="83"/>
      <c r="BI61" s="84"/>
      <c r="BJ61" s="30">
        <f t="shared" si="44"/>
        <v>0</v>
      </c>
      <c r="BK61" s="30">
        <f t="shared" si="45"/>
        <v>0</v>
      </c>
      <c r="BL61" s="31"/>
      <c r="BM61" s="114"/>
      <c r="BN61" s="31"/>
      <c r="BP61" s="25"/>
      <c r="BQ61" s="27"/>
      <c r="BR61" s="28"/>
      <c r="BS61" s="29"/>
      <c r="BT61" s="27"/>
      <c r="BU61" s="28"/>
      <c r="BV61" s="29"/>
      <c r="BW61" s="27"/>
      <c r="BX61" s="28"/>
      <c r="BY61" s="29"/>
      <c r="BZ61" s="27"/>
      <c r="CA61" s="28"/>
      <c r="CB61" s="29"/>
      <c r="CC61" s="27"/>
      <c r="CD61" s="28"/>
      <c r="CE61" s="29"/>
      <c r="CF61" s="27"/>
      <c r="CG61" s="28"/>
      <c r="CH61" s="29"/>
      <c r="CI61" s="27"/>
      <c r="CJ61" s="28"/>
      <c r="CK61" s="133"/>
      <c r="CL61" s="133"/>
    </row>
    <row r="62" spans="1:90" ht="20.100000000000001" customHeight="1" x14ac:dyDescent="0.25">
      <c r="A62" s="24"/>
      <c r="B62" s="24"/>
      <c r="C62" s="137">
        <v>61</v>
      </c>
      <c r="D62" s="138"/>
      <c r="E62" s="138"/>
      <c r="F62" s="139">
        <f t="shared" si="31"/>
        <v>0.99998842592592596</v>
      </c>
      <c r="G62" s="139">
        <f t="shared" si="32"/>
        <v>0</v>
      </c>
      <c r="H62" s="140">
        <f t="shared" si="33"/>
        <v>-0.99998842592592596</v>
      </c>
      <c r="I62" s="141">
        <f t="shared" si="34"/>
        <v>0</v>
      </c>
      <c r="J62" s="141">
        <f t="shared" si="35"/>
        <v>14</v>
      </c>
      <c r="K62" s="141">
        <f t="shared" si="36"/>
        <v>0</v>
      </c>
      <c r="L62" s="141" t="e">
        <f t="shared" si="37"/>
        <v>#N/A</v>
      </c>
      <c r="M62" s="141" t="e">
        <f t="shared" si="38"/>
        <v>#N/A</v>
      </c>
      <c r="N62" s="141" t="e">
        <f t="shared" si="39"/>
        <v>#N/A</v>
      </c>
      <c r="O62" s="142" t="e">
        <f t="shared" si="40"/>
        <v>#N/A</v>
      </c>
      <c r="P62" s="137">
        <f t="shared" si="41"/>
        <v>0</v>
      </c>
      <c r="Q62" s="137">
        <f t="shared" si="42"/>
        <v>0</v>
      </c>
      <c r="R62" s="137" t="e">
        <f t="shared" si="43"/>
        <v>#N/A</v>
      </c>
      <c r="S62" s="82"/>
      <c r="T62" s="83"/>
      <c r="U62" s="84"/>
      <c r="V62" s="85"/>
      <c r="W62" s="83"/>
      <c r="X62" s="84"/>
      <c r="Y62" s="85"/>
      <c r="Z62" s="83"/>
      <c r="AA62" s="84"/>
      <c r="AB62" s="85"/>
      <c r="AC62" s="83"/>
      <c r="AD62" s="84"/>
      <c r="AE62" s="85"/>
      <c r="AF62" s="83"/>
      <c r="AG62" s="84"/>
      <c r="AH62" s="85"/>
      <c r="AI62" s="83"/>
      <c r="AJ62" s="84"/>
      <c r="AK62" s="85"/>
      <c r="AL62" s="83"/>
      <c r="AM62" s="84"/>
      <c r="AN62" s="30">
        <f t="shared" si="13"/>
        <v>0</v>
      </c>
      <c r="AO62" s="82"/>
      <c r="AP62" s="83"/>
      <c r="AQ62" s="84"/>
      <c r="AR62" s="85"/>
      <c r="AS62" s="83"/>
      <c r="AT62" s="84"/>
      <c r="AU62" s="85"/>
      <c r="AV62" s="83"/>
      <c r="AW62" s="84"/>
      <c r="AX62" s="85"/>
      <c r="AY62" s="83"/>
      <c r="AZ62" s="84"/>
      <c r="BA62" s="85"/>
      <c r="BB62" s="83"/>
      <c r="BC62" s="84"/>
      <c r="BD62" s="85"/>
      <c r="BE62" s="83"/>
      <c r="BF62" s="84"/>
      <c r="BG62" s="85"/>
      <c r="BH62" s="83"/>
      <c r="BI62" s="84"/>
      <c r="BJ62" s="30">
        <f t="shared" si="44"/>
        <v>0</v>
      </c>
      <c r="BK62" s="30">
        <f t="shared" si="45"/>
        <v>0</v>
      </c>
      <c r="BL62" s="31"/>
      <c r="BM62" s="114"/>
      <c r="BN62" s="31"/>
      <c r="BP62" s="25"/>
      <c r="BQ62" s="27"/>
      <c r="BR62" s="28"/>
      <c r="BS62" s="29"/>
      <c r="BT62" s="27"/>
      <c r="BU62" s="28"/>
      <c r="BV62" s="29"/>
      <c r="BW62" s="27"/>
      <c r="BX62" s="28"/>
      <c r="BY62" s="29"/>
      <c r="BZ62" s="27"/>
      <c r="CA62" s="28"/>
      <c r="CB62" s="29"/>
      <c r="CC62" s="27"/>
      <c r="CD62" s="28"/>
      <c r="CE62" s="29"/>
      <c r="CF62" s="27"/>
      <c r="CG62" s="28"/>
      <c r="CH62" s="29"/>
      <c r="CI62" s="27"/>
      <c r="CJ62" s="28"/>
      <c r="CK62" s="133"/>
      <c r="CL62" s="133"/>
    </row>
    <row r="63" spans="1:90" ht="20.100000000000001" customHeight="1" x14ac:dyDescent="0.25">
      <c r="A63" s="24"/>
      <c r="B63" s="24"/>
      <c r="C63" s="137">
        <v>62</v>
      </c>
      <c r="D63" s="138"/>
      <c r="E63" s="138"/>
      <c r="F63" s="139">
        <f t="shared" si="31"/>
        <v>0.99998842592592596</v>
      </c>
      <c r="G63" s="139">
        <f t="shared" si="32"/>
        <v>0</v>
      </c>
      <c r="H63" s="140">
        <f t="shared" si="33"/>
        <v>-0.99998842592592596</v>
      </c>
      <c r="I63" s="141">
        <f t="shared" si="34"/>
        <v>0</v>
      </c>
      <c r="J63" s="141">
        <f t="shared" si="35"/>
        <v>14</v>
      </c>
      <c r="K63" s="141">
        <f t="shared" si="36"/>
        <v>0</v>
      </c>
      <c r="L63" s="141" t="e">
        <f t="shared" si="37"/>
        <v>#N/A</v>
      </c>
      <c r="M63" s="141" t="e">
        <f t="shared" si="38"/>
        <v>#N/A</v>
      </c>
      <c r="N63" s="141" t="e">
        <f t="shared" si="39"/>
        <v>#N/A</v>
      </c>
      <c r="O63" s="142" t="e">
        <f t="shared" si="40"/>
        <v>#N/A</v>
      </c>
      <c r="P63" s="137">
        <f t="shared" si="41"/>
        <v>0</v>
      </c>
      <c r="Q63" s="137">
        <f t="shared" si="42"/>
        <v>0</v>
      </c>
      <c r="R63" s="137" t="e">
        <f t="shared" si="43"/>
        <v>#N/A</v>
      </c>
      <c r="S63" s="82"/>
      <c r="T63" s="83"/>
      <c r="U63" s="84"/>
      <c r="V63" s="85"/>
      <c r="W63" s="83"/>
      <c r="X63" s="84"/>
      <c r="Y63" s="85"/>
      <c r="Z63" s="83"/>
      <c r="AA63" s="84"/>
      <c r="AB63" s="85"/>
      <c r="AC63" s="83"/>
      <c r="AD63" s="84"/>
      <c r="AE63" s="85"/>
      <c r="AF63" s="83"/>
      <c r="AG63" s="84"/>
      <c r="AH63" s="85"/>
      <c r="AI63" s="83"/>
      <c r="AJ63" s="84"/>
      <c r="AK63" s="85"/>
      <c r="AL63" s="83"/>
      <c r="AM63" s="84"/>
      <c r="AN63" s="30">
        <f t="shared" si="13"/>
        <v>0</v>
      </c>
      <c r="AO63" s="82"/>
      <c r="AP63" s="83"/>
      <c r="AQ63" s="84"/>
      <c r="AR63" s="85"/>
      <c r="AS63" s="83"/>
      <c r="AT63" s="84"/>
      <c r="AU63" s="85"/>
      <c r="AV63" s="83"/>
      <c r="AW63" s="84"/>
      <c r="AX63" s="85"/>
      <c r="AY63" s="83"/>
      <c r="AZ63" s="84"/>
      <c r="BA63" s="85"/>
      <c r="BB63" s="83"/>
      <c r="BC63" s="84"/>
      <c r="BD63" s="85"/>
      <c r="BE63" s="83"/>
      <c r="BF63" s="84"/>
      <c r="BG63" s="85"/>
      <c r="BH63" s="83"/>
      <c r="BI63" s="84"/>
      <c r="BJ63" s="30">
        <f t="shared" si="44"/>
        <v>0</v>
      </c>
      <c r="BK63" s="30">
        <f t="shared" si="45"/>
        <v>0</v>
      </c>
      <c r="BL63" s="31"/>
      <c r="BM63" s="114"/>
      <c r="BN63" s="31"/>
      <c r="BP63" s="25"/>
      <c r="BQ63" s="27"/>
      <c r="BR63" s="28"/>
      <c r="BS63" s="29"/>
      <c r="BT63" s="27"/>
      <c r="BU63" s="28"/>
      <c r="BV63" s="29"/>
      <c r="BW63" s="27"/>
      <c r="BX63" s="28"/>
      <c r="BY63" s="29"/>
      <c r="BZ63" s="27"/>
      <c r="CA63" s="28"/>
      <c r="CB63" s="29"/>
      <c r="CC63" s="27"/>
      <c r="CD63" s="28"/>
      <c r="CE63" s="29"/>
      <c r="CF63" s="27"/>
      <c r="CG63" s="28"/>
      <c r="CH63" s="29"/>
      <c r="CI63" s="27"/>
      <c r="CJ63" s="28"/>
      <c r="CK63" s="133"/>
      <c r="CL63" s="133"/>
    </row>
    <row r="64" spans="1:90" ht="20.100000000000001" customHeight="1" x14ac:dyDescent="0.25">
      <c r="A64" s="24"/>
      <c r="B64" s="24"/>
      <c r="C64" s="137">
        <v>63</v>
      </c>
      <c r="D64" s="138"/>
      <c r="E64" s="138"/>
      <c r="F64" s="139">
        <f t="shared" si="31"/>
        <v>0.99998842592592596</v>
      </c>
      <c r="G64" s="139">
        <f t="shared" si="32"/>
        <v>0</v>
      </c>
      <c r="H64" s="140">
        <f t="shared" si="33"/>
        <v>-0.99998842592592596</v>
      </c>
      <c r="I64" s="141">
        <f t="shared" si="34"/>
        <v>0</v>
      </c>
      <c r="J64" s="141">
        <f t="shared" si="35"/>
        <v>14</v>
      </c>
      <c r="K64" s="141">
        <f t="shared" si="36"/>
        <v>0</v>
      </c>
      <c r="L64" s="141" t="e">
        <f t="shared" si="37"/>
        <v>#N/A</v>
      </c>
      <c r="M64" s="141" t="e">
        <f t="shared" si="38"/>
        <v>#N/A</v>
      </c>
      <c r="N64" s="141" t="e">
        <f t="shared" si="39"/>
        <v>#N/A</v>
      </c>
      <c r="O64" s="142" t="e">
        <f t="shared" si="40"/>
        <v>#N/A</v>
      </c>
      <c r="P64" s="137">
        <f t="shared" si="41"/>
        <v>0</v>
      </c>
      <c r="Q64" s="137">
        <f t="shared" si="42"/>
        <v>0</v>
      </c>
      <c r="R64" s="137" t="e">
        <f t="shared" si="43"/>
        <v>#N/A</v>
      </c>
      <c r="S64" s="82"/>
      <c r="T64" s="83"/>
      <c r="U64" s="84"/>
      <c r="V64" s="85"/>
      <c r="W64" s="83"/>
      <c r="X64" s="84"/>
      <c r="Y64" s="85"/>
      <c r="Z64" s="83"/>
      <c r="AA64" s="84"/>
      <c r="AB64" s="85"/>
      <c r="AC64" s="83"/>
      <c r="AD64" s="84"/>
      <c r="AE64" s="85"/>
      <c r="AF64" s="83"/>
      <c r="AG64" s="84"/>
      <c r="AH64" s="85"/>
      <c r="AI64" s="83"/>
      <c r="AJ64" s="84"/>
      <c r="AK64" s="85"/>
      <c r="AL64" s="83"/>
      <c r="AM64" s="84"/>
      <c r="AN64" s="30">
        <f t="shared" si="13"/>
        <v>0</v>
      </c>
      <c r="AO64" s="82"/>
      <c r="AP64" s="83"/>
      <c r="AQ64" s="84"/>
      <c r="AR64" s="85"/>
      <c r="AS64" s="83"/>
      <c r="AT64" s="84"/>
      <c r="AU64" s="85"/>
      <c r="AV64" s="83"/>
      <c r="AW64" s="84"/>
      <c r="AX64" s="85"/>
      <c r="AY64" s="83"/>
      <c r="AZ64" s="84"/>
      <c r="BA64" s="85"/>
      <c r="BB64" s="83"/>
      <c r="BC64" s="84"/>
      <c r="BD64" s="85"/>
      <c r="BE64" s="83"/>
      <c r="BF64" s="84"/>
      <c r="BG64" s="85"/>
      <c r="BH64" s="83"/>
      <c r="BI64" s="84"/>
      <c r="BJ64" s="30">
        <f t="shared" si="44"/>
        <v>0</v>
      </c>
      <c r="BK64" s="30">
        <f t="shared" si="45"/>
        <v>0</v>
      </c>
      <c r="BL64" s="31"/>
      <c r="BM64" s="114"/>
      <c r="BN64" s="31"/>
      <c r="BP64" s="25"/>
      <c r="BQ64" s="27"/>
      <c r="BR64" s="28"/>
      <c r="BS64" s="29"/>
      <c r="BT64" s="27"/>
      <c r="BU64" s="28"/>
      <c r="BV64" s="29"/>
      <c r="BW64" s="27"/>
      <c r="BX64" s="28"/>
      <c r="BY64" s="29"/>
      <c r="BZ64" s="27"/>
      <c r="CA64" s="28"/>
      <c r="CB64" s="29"/>
      <c r="CC64" s="27"/>
      <c r="CD64" s="28"/>
      <c r="CE64" s="29"/>
      <c r="CF64" s="27"/>
      <c r="CG64" s="28"/>
      <c r="CH64" s="29"/>
      <c r="CI64" s="27"/>
      <c r="CJ64" s="28"/>
      <c r="CK64" s="133"/>
      <c r="CL64" s="133"/>
    </row>
    <row r="65" spans="1:90" ht="20.100000000000001" customHeight="1" x14ac:dyDescent="0.25">
      <c r="A65" s="24"/>
      <c r="B65" s="24"/>
      <c r="C65" s="137">
        <v>64</v>
      </c>
      <c r="D65" s="138"/>
      <c r="E65" s="138"/>
      <c r="F65" s="139">
        <f t="shared" si="31"/>
        <v>0.99998842592592596</v>
      </c>
      <c r="G65" s="139">
        <f t="shared" si="32"/>
        <v>0</v>
      </c>
      <c r="H65" s="140">
        <f t="shared" si="33"/>
        <v>-0.99998842592592596</v>
      </c>
      <c r="I65" s="141">
        <f t="shared" si="34"/>
        <v>0</v>
      </c>
      <c r="J65" s="141">
        <f t="shared" si="35"/>
        <v>14</v>
      </c>
      <c r="K65" s="141">
        <f t="shared" si="36"/>
        <v>0</v>
      </c>
      <c r="L65" s="141" t="e">
        <f t="shared" si="37"/>
        <v>#N/A</v>
      </c>
      <c r="M65" s="141" t="e">
        <f t="shared" si="38"/>
        <v>#N/A</v>
      </c>
      <c r="N65" s="141" t="e">
        <f t="shared" si="39"/>
        <v>#N/A</v>
      </c>
      <c r="O65" s="142" t="e">
        <f t="shared" si="40"/>
        <v>#N/A</v>
      </c>
      <c r="P65" s="137">
        <f t="shared" si="41"/>
        <v>0</v>
      </c>
      <c r="Q65" s="137">
        <f t="shared" si="42"/>
        <v>0</v>
      </c>
      <c r="R65" s="137" t="e">
        <f t="shared" si="43"/>
        <v>#N/A</v>
      </c>
      <c r="S65" s="82"/>
      <c r="T65" s="83"/>
      <c r="U65" s="84"/>
      <c r="V65" s="85"/>
      <c r="W65" s="83"/>
      <c r="X65" s="84"/>
      <c r="Y65" s="85"/>
      <c r="Z65" s="83"/>
      <c r="AA65" s="84"/>
      <c r="AB65" s="85"/>
      <c r="AC65" s="83"/>
      <c r="AD65" s="84"/>
      <c r="AE65" s="85"/>
      <c r="AF65" s="83"/>
      <c r="AG65" s="84"/>
      <c r="AH65" s="85"/>
      <c r="AI65" s="83"/>
      <c r="AJ65" s="84"/>
      <c r="AK65" s="85"/>
      <c r="AL65" s="83"/>
      <c r="AM65" s="84"/>
      <c r="AN65" s="30">
        <f t="shared" si="13"/>
        <v>0</v>
      </c>
      <c r="AO65" s="82"/>
      <c r="AP65" s="83"/>
      <c r="AQ65" s="84"/>
      <c r="AR65" s="85"/>
      <c r="AS65" s="83"/>
      <c r="AT65" s="84"/>
      <c r="AU65" s="85"/>
      <c r="AV65" s="83"/>
      <c r="AW65" s="84"/>
      <c r="AX65" s="85"/>
      <c r="AY65" s="83"/>
      <c r="AZ65" s="84"/>
      <c r="BA65" s="85"/>
      <c r="BB65" s="83"/>
      <c r="BC65" s="84"/>
      <c r="BD65" s="85"/>
      <c r="BE65" s="83"/>
      <c r="BF65" s="84"/>
      <c r="BG65" s="85"/>
      <c r="BH65" s="83"/>
      <c r="BI65" s="84"/>
      <c r="BJ65" s="30">
        <f t="shared" si="44"/>
        <v>0</v>
      </c>
      <c r="BK65" s="30">
        <f t="shared" si="45"/>
        <v>0</v>
      </c>
      <c r="BL65" s="31"/>
      <c r="BM65" s="114"/>
      <c r="BN65" s="31"/>
      <c r="BP65" s="25"/>
      <c r="BQ65" s="27"/>
      <c r="BR65" s="28"/>
      <c r="BS65" s="29"/>
      <c r="BT65" s="27"/>
      <c r="BU65" s="28"/>
      <c r="BV65" s="29"/>
      <c r="BW65" s="27"/>
      <c r="BX65" s="28"/>
      <c r="BY65" s="29"/>
      <c r="BZ65" s="27"/>
      <c r="CA65" s="28"/>
      <c r="CB65" s="29"/>
      <c r="CC65" s="27"/>
      <c r="CD65" s="28"/>
      <c r="CE65" s="29"/>
      <c r="CF65" s="27"/>
      <c r="CG65" s="28"/>
      <c r="CH65" s="29"/>
      <c r="CI65" s="27"/>
      <c r="CJ65" s="28"/>
      <c r="CK65" s="133"/>
      <c r="CL65" s="133"/>
    </row>
    <row r="66" spans="1:90" ht="20.100000000000001" customHeight="1" x14ac:dyDescent="0.25">
      <c r="A66" s="24"/>
      <c r="B66" s="24"/>
      <c r="C66" s="137">
        <v>65</v>
      </c>
      <c r="D66" s="138"/>
      <c r="E66" s="138"/>
      <c r="F66" s="139">
        <f t="shared" si="31"/>
        <v>0.99998842592592596</v>
      </c>
      <c r="G66" s="139">
        <f t="shared" si="32"/>
        <v>0</v>
      </c>
      <c r="H66" s="140">
        <f t="shared" si="33"/>
        <v>-0.99998842592592596</v>
      </c>
      <c r="I66" s="141">
        <f t="shared" si="34"/>
        <v>0</v>
      </c>
      <c r="J66" s="141">
        <f t="shared" si="35"/>
        <v>14</v>
      </c>
      <c r="K66" s="141">
        <f t="shared" si="36"/>
        <v>0</v>
      </c>
      <c r="L66" s="141" t="e">
        <f t="shared" si="37"/>
        <v>#N/A</v>
      </c>
      <c r="M66" s="141" t="e">
        <f t="shared" si="38"/>
        <v>#N/A</v>
      </c>
      <c r="N66" s="141" t="e">
        <f t="shared" si="39"/>
        <v>#N/A</v>
      </c>
      <c r="O66" s="142" t="e">
        <f t="shared" si="40"/>
        <v>#N/A</v>
      </c>
      <c r="P66" s="137">
        <f t="shared" si="41"/>
        <v>0</v>
      </c>
      <c r="Q66" s="137">
        <f t="shared" si="42"/>
        <v>0</v>
      </c>
      <c r="R66" s="137" t="e">
        <f t="shared" si="43"/>
        <v>#N/A</v>
      </c>
      <c r="S66" s="82"/>
      <c r="T66" s="83"/>
      <c r="U66" s="84"/>
      <c r="V66" s="85"/>
      <c r="W66" s="83"/>
      <c r="X66" s="84"/>
      <c r="Y66" s="85"/>
      <c r="Z66" s="83"/>
      <c r="AA66" s="84"/>
      <c r="AB66" s="85"/>
      <c r="AC66" s="83"/>
      <c r="AD66" s="84"/>
      <c r="AE66" s="85"/>
      <c r="AF66" s="83"/>
      <c r="AG66" s="84"/>
      <c r="AH66" s="85"/>
      <c r="AI66" s="83"/>
      <c r="AJ66" s="84"/>
      <c r="AK66" s="85"/>
      <c r="AL66" s="83"/>
      <c r="AM66" s="84"/>
      <c r="AN66" s="30">
        <f t="shared" si="13"/>
        <v>0</v>
      </c>
      <c r="AO66" s="82"/>
      <c r="AP66" s="83"/>
      <c r="AQ66" s="84"/>
      <c r="AR66" s="85"/>
      <c r="AS66" s="83"/>
      <c r="AT66" s="84"/>
      <c r="AU66" s="85"/>
      <c r="AV66" s="83"/>
      <c r="AW66" s="84"/>
      <c r="AX66" s="85"/>
      <c r="AY66" s="83"/>
      <c r="AZ66" s="84"/>
      <c r="BA66" s="85"/>
      <c r="BB66" s="83"/>
      <c r="BC66" s="84"/>
      <c r="BD66" s="85"/>
      <c r="BE66" s="83"/>
      <c r="BF66" s="84"/>
      <c r="BG66" s="85"/>
      <c r="BH66" s="83"/>
      <c r="BI66" s="84"/>
      <c r="BJ66" s="30">
        <f t="shared" si="44"/>
        <v>0</v>
      </c>
      <c r="BK66" s="30">
        <f t="shared" si="45"/>
        <v>0</v>
      </c>
      <c r="BL66" s="31"/>
      <c r="BM66" s="114"/>
      <c r="BN66" s="31"/>
      <c r="BP66" s="25"/>
      <c r="BQ66" s="27"/>
      <c r="BR66" s="28"/>
      <c r="BS66" s="29"/>
      <c r="BT66" s="27"/>
      <c r="BU66" s="28"/>
      <c r="BV66" s="29"/>
      <c r="BW66" s="27"/>
      <c r="BX66" s="28"/>
      <c r="BY66" s="29"/>
      <c r="BZ66" s="27"/>
      <c r="CA66" s="28"/>
      <c r="CB66" s="29"/>
      <c r="CC66" s="27"/>
      <c r="CD66" s="28"/>
      <c r="CE66" s="29"/>
      <c r="CF66" s="27"/>
      <c r="CG66" s="28"/>
      <c r="CH66" s="29"/>
      <c r="CI66" s="27"/>
      <c r="CJ66" s="28"/>
      <c r="CK66" s="133"/>
      <c r="CL66" s="133"/>
    </row>
    <row r="67" spans="1:90" ht="20.100000000000001" customHeight="1" x14ac:dyDescent="0.25">
      <c r="A67" s="24"/>
      <c r="B67" s="24"/>
      <c r="C67" s="137">
        <v>66</v>
      </c>
      <c r="D67" s="138"/>
      <c r="E67" s="138"/>
      <c r="F67" s="139">
        <f t="shared" si="31"/>
        <v>0.99998842592592596</v>
      </c>
      <c r="G67" s="139">
        <f t="shared" si="32"/>
        <v>0</v>
      </c>
      <c r="H67" s="140">
        <f t="shared" si="33"/>
        <v>-0.99998842592592596</v>
      </c>
      <c r="I67" s="141">
        <f t="shared" si="34"/>
        <v>0</v>
      </c>
      <c r="J67" s="141">
        <f t="shared" si="35"/>
        <v>14</v>
      </c>
      <c r="K67" s="141">
        <f t="shared" si="36"/>
        <v>0</v>
      </c>
      <c r="L67" s="141" t="e">
        <f t="shared" si="37"/>
        <v>#N/A</v>
      </c>
      <c r="M67" s="141" t="e">
        <f t="shared" si="38"/>
        <v>#N/A</v>
      </c>
      <c r="N67" s="141" t="e">
        <f t="shared" si="39"/>
        <v>#N/A</v>
      </c>
      <c r="O67" s="142" t="e">
        <f t="shared" si="40"/>
        <v>#N/A</v>
      </c>
      <c r="P67" s="137">
        <f t="shared" si="41"/>
        <v>0</v>
      </c>
      <c r="Q67" s="137">
        <f t="shared" si="42"/>
        <v>0</v>
      </c>
      <c r="R67" s="137" t="e">
        <f t="shared" si="43"/>
        <v>#N/A</v>
      </c>
      <c r="S67" s="82"/>
      <c r="T67" s="83"/>
      <c r="U67" s="84"/>
      <c r="V67" s="85"/>
      <c r="W67" s="83"/>
      <c r="X67" s="84"/>
      <c r="Y67" s="85"/>
      <c r="Z67" s="83"/>
      <c r="AA67" s="84"/>
      <c r="AB67" s="85"/>
      <c r="AC67" s="83"/>
      <c r="AD67" s="84"/>
      <c r="AE67" s="85"/>
      <c r="AF67" s="83"/>
      <c r="AG67" s="84"/>
      <c r="AH67" s="85"/>
      <c r="AI67" s="83"/>
      <c r="AJ67" s="84"/>
      <c r="AK67" s="85"/>
      <c r="AL67" s="83"/>
      <c r="AM67" s="84"/>
      <c r="AN67" s="30">
        <f>TourHours(S67:AM67,0)</f>
        <v>0</v>
      </c>
      <c r="AO67" s="82"/>
      <c r="AP67" s="83"/>
      <c r="AQ67" s="84"/>
      <c r="AR67" s="85"/>
      <c r="AS67" s="83"/>
      <c r="AT67" s="84"/>
      <c r="AU67" s="85"/>
      <c r="AV67" s="83"/>
      <c r="AW67" s="84"/>
      <c r="AX67" s="85"/>
      <c r="AY67" s="83"/>
      <c r="AZ67" s="84"/>
      <c r="BA67" s="85"/>
      <c r="BB67" s="83"/>
      <c r="BC67" s="84"/>
      <c r="BD67" s="85"/>
      <c r="BE67" s="83"/>
      <c r="BF67" s="84"/>
      <c r="BG67" s="85"/>
      <c r="BH67" s="83"/>
      <c r="BI67" s="84"/>
      <c r="BJ67" s="30">
        <f t="shared" si="44"/>
        <v>0</v>
      </c>
      <c r="BK67" s="30">
        <f t="shared" si="45"/>
        <v>0</v>
      </c>
      <c r="BL67" s="31"/>
      <c r="BM67" s="114"/>
      <c r="BN67" s="31"/>
      <c r="BP67" s="25"/>
      <c r="BQ67" s="27"/>
      <c r="BR67" s="28"/>
      <c r="BS67" s="29"/>
      <c r="BT67" s="27"/>
      <c r="BU67" s="28"/>
      <c r="BV67" s="29"/>
      <c r="BW67" s="27"/>
      <c r="BX67" s="28"/>
      <c r="BY67" s="29"/>
      <c r="BZ67" s="27"/>
      <c r="CA67" s="28"/>
      <c r="CB67" s="29"/>
      <c r="CC67" s="27"/>
      <c r="CD67" s="28"/>
      <c r="CE67" s="29"/>
      <c r="CF67" s="27"/>
      <c r="CG67" s="28"/>
      <c r="CH67" s="29"/>
      <c r="CI67" s="27"/>
      <c r="CJ67" s="28"/>
      <c r="CK67" s="133"/>
      <c r="CL67" s="133"/>
    </row>
    <row r="68" spans="1:90" ht="20.100000000000001" customHeight="1" x14ac:dyDescent="0.25">
      <c r="A68" s="24"/>
      <c r="B68" s="24"/>
      <c r="C68" s="137">
        <v>67</v>
      </c>
      <c r="D68" s="138"/>
      <c r="E68" s="138"/>
      <c r="F68" s="139">
        <f t="shared" si="31"/>
        <v>0.99998842592592596</v>
      </c>
      <c r="G68" s="139">
        <f t="shared" si="32"/>
        <v>0</v>
      </c>
      <c r="H68" s="140">
        <f t="shared" si="33"/>
        <v>-0.99998842592592596</v>
      </c>
      <c r="I68" s="141">
        <f t="shared" si="34"/>
        <v>0</v>
      </c>
      <c r="J68" s="141">
        <f t="shared" si="35"/>
        <v>14</v>
      </c>
      <c r="K68" s="141">
        <f t="shared" si="36"/>
        <v>0</v>
      </c>
      <c r="L68" s="141" t="e">
        <f t="shared" si="37"/>
        <v>#N/A</v>
      </c>
      <c r="M68" s="141" t="e">
        <f t="shared" si="38"/>
        <v>#N/A</v>
      </c>
      <c r="N68" s="141" t="e">
        <f t="shared" si="39"/>
        <v>#N/A</v>
      </c>
      <c r="O68" s="142" t="e">
        <f t="shared" si="40"/>
        <v>#N/A</v>
      </c>
      <c r="P68" s="137">
        <f t="shared" si="41"/>
        <v>0</v>
      </c>
      <c r="Q68" s="137">
        <f t="shared" si="42"/>
        <v>0</v>
      </c>
      <c r="R68" s="137" t="e">
        <f t="shared" si="43"/>
        <v>#N/A</v>
      </c>
      <c r="S68" s="82"/>
      <c r="T68" s="83"/>
      <c r="U68" s="84"/>
      <c r="V68" s="85"/>
      <c r="W68" s="83"/>
      <c r="X68" s="84"/>
      <c r="Y68" s="85"/>
      <c r="Z68" s="83"/>
      <c r="AA68" s="84"/>
      <c r="AB68" s="85"/>
      <c r="AC68" s="83"/>
      <c r="AD68" s="84"/>
      <c r="AE68" s="85"/>
      <c r="AF68" s="83"/>
      <c r="AG68" s="84"/>
      <c r="AH68" s="85"/>
      <c r="AI68" s="83"/>
      <c r="AJ68" s="84"/>
      <c r="AK68" s="85"/>
      <c r="AL68" s="83"/>
      <c r="AM68" s="84"/>
      <c r="AN68" s="30">
        <f>TourHours(S68:AM68,0)</f>
        <v>0</v>
      </c>
      <c r="AO68" s="82"/>
      <c r="AP68" s="83"/>
      <c r="AQ68" s="84"/>
      <c r="AR68" s="85"/>
      <c r="AS68" s="83"/>
      <c r="AT68" s="84"/>
      <c r="AU68" s="85"/>
      <c r="AV68" s="83"/>
      <c r="AW68" s="84"/>
      <c r="AX68" s="85"/>
      <c r="AY68" s="83"/>
      <c r="AZ68" s="84"/>
      <c r="BA68" s="85"/>
      <c r="BB68" s="83"/>
      <c r="BC68" s="84"/>
      <c r="BD68" s="85"/>
      <c r="BE68" s="83"/>
      <c r="BF68" s="84"/>
      <c r="BG68" s="85"/>
      <c r="BH68" s="83"/>
      <c r="BI68" s="84"/>
      <c r="BJ68" s="30">
        <f t="shared" si="44"/>
        <v>0</v>
      </c>
      <c r="BK68" s="30">
        <f t="shared" si="45"/>
        <v>0</v>
      </c>
      <c r="BL68" s="31"/>
      <c r="BM68" s="114"/>
      <c r="BN68" s="31"/>
      <c r="BP68" s="25"/>
      <c r="BQ68" s="27"/>
      <c r="BR68" s="28"/>
      <c r="BS68" s="29"/>
      <c r="BT68" s="27"/>
      <c r="BU68" s="28"/>
      <c r="BV68" s="29"/>
      <c r="BW68" s="27"/>
      <c r="BX68" s="28"/>
      <c r="BY68" s="29"/>
      <c r="BZ68" s="27"/>
      <c r="CA68" s="28"/>
      <c r="CB68" s="29"/>
      <c r="CC68" s="27"/>
      <c r="CD68" s="28"/>
      <c r="CE68" s="29"/>
      <c r="CF68" s="27"/>
      <c r="CG68" s="28"/>
      <c r="CH68" s="29"/>
      <c r="CI68" s="27"/>
      <c r="CJ68" s="28"/>
      <c r="CK68" s="133"/>
      <c r="CL68" s="133"/>
    </row>
    <row r="69" spans="1:90" ht="20.100000000000001" customHeight="1" x14ac:dyDescent="0.25">
      <c r="A69" s="24"/>
      <c r="B69" s="24"/>
      <c r="C69" s="137">
        <v>68</v>
      </c>
      <c r="D69" s="138"/>
      <c r="E69" s="138"/>
      <c r="F69" s="139">
        <f t="shared" si="31"/>
        <v>0.99998842592592596</v>
      </c>
      <c r="G69" s="139">
        <f t="shared" si="32"/>
        <v>0</v>
      </c>
      <c r="H69" s="140">
        <f t="shared" si="33"/>
        <v>-0.99998842592592596</v>
      </c>
      <c r="I69" s="141">
        <f t="shared" si="34"/>
        <v>0</v>
      </c>
      <c r="J69" s="141">
        <f t="shared" si="35"/>
        <v>14</v>
      </c>
      <c r="K69" s="141">
        <f t="shared" si="36"/>
        <v>0</v>
      </c>
      <c r="L69" s="141" t="e">
        <f t="shared" si="37"/>
        <v>#N/A</v>
      </c>
      <c r="M69" s="141" t="e">
        <f t="shared" si="38"/>
        <v>#N/A</v>
      </c>
      <c r="N69" s="141" t="e">
        <f t="shared" si="39"/>
        <v>#N/A</v>
      </c>
      <c r="O69" s="142" t="e">
        <f t="shared" si="40"/>
        <v>#N/A</v>
      </c>
      <c r="P69" s="137">
        <f t="shared" si="41"/>
        <v>0</v>
      </c>
      <c r="Q69" s="137">
        <f t="shared" si="42"/>
        <v>0</v>
      </c>
      <c r="R69" s="137" t="e">
        <f t="shared" si="43"/>
        <v>#N/A</v>
      </c>
      <c r="S69" s="82"/>
      <c r="T69" s="83"/>
      <c r="U69" s="84"/>
      <c r="V69" s="85"/>
      <c r="W69" s="83"/>
      <c r="X69" s="84"/>
      <c r="Y69" s="85"/>
      <c r="Z69" s="83"/>
      <c r="AA69" s="84"/>
      <c r="AB69" s="85"/>
      <c r="AC69" s="83"/>
      <c r="AD69" s="84"/>
      <c r="AE69" s="85"/>
      <c r="AF69" s="83"/>
      <c r="AG69" s="84"/>
      <c r="AH69" s="85"/>
      <c r="AI69" s="83"/>
      <c r="AJ69" s="84"/>
      <c r="AK69" s="85"/>
      <c r="AL69" s="83"/>
      <c r="AM69" s="84"/>
      <c r="AN69" s="30">
        <f>TourHours(S69:AM69,0)</f>
        <v>0</v>
      </c>
      <c r="AO69" s="82"/>
      <c r="AP69" s="83"/>
      <c r="AQ69" s="84"/>
      <c r="AR69" s="85"/>
      <c r="AS69" s="83"/>
      <c r="AT69" s="84"/>
      <c r="AU69" s="85"/>
      <c r="AV69" s="83"/>
      <c r="AW69" s="84"/>
      <c r="AX69" s="85"/>
      <c r="AY69" s="83"/>
      <c r="AZ69" s="84"/>
      <c r="BA69" s="85"/>
      <c r="BB69" s="83"/>
      <c r="BC69" s="84"/>
      <c r="BD69" s="85"/>
      <c r="BE69" s="83"/>
      <c r="BF69" s="84"/>
      <c r="BG69" s="85"/>
      <c r="BH69" s="83"/>
      <c r="BI69" s="84"/>
      <c r="BJ69" s="30">
        <f t="shared" si="44"/>
        <v>0</v>
      </c>
      <c r="BK69" s="30">
        <f t="shared" si="45"/>
        <v>0</v>
      </c>
      <c r="BL69" s="31"/>
      <c r="BM69" s="114"/>
      <c r="BN69" s="31"/>
      <c r="BP69" s="25"/>
      <c r="BQ69" s="27"/>
      <c r="BR69" s="28"/>
      <c r="BS69" s="29"/>
      <c r="BT69" s="27"/>
      <c r="BU69" s="28"/>
      <c r="BV69" s="29"/>
      <c r="BW69" s="27"/>
      <c r="BX69" s="28"/>
      <c r="BY69" s="29"/>
      <c r="BZ69" s="27"/>
      <c r="CA69" s="28"/>
      <c r="CB69" s="29"/>
      <c r="CC69" s="27"/>
      <c r="CD69" s="28"/>
      <c r="CE69" s="29"/>
      <c r="CF69" s="27"/>
      <c r="CG69" s="28"/>
      <c r="CH69" s="29"/>
      <c r="CI69" s="27"/>
      <c r="CJ69" s="28"/>
      <c r="CK69" s="133"/>
      <c r="CL69" s="133"/>
    </row>
    <row r="70" spans="1:90" ht="20.100000000000001" customHeight="1" x14ac:dyDescent="0.25">
      <c r="A70" s="24"/>
      <c r="B70" s="24"/>
      <c r="C70" s="137">
        <v>69</v>
      </c>
      <c r="D70" s="138"/>
      <c r="E70" s="138"/>
      <c r="F70" s="139">
        <f t="shared" si="31"/>
        <v>0.99998842592592596</v>
      </c>
      <c r="G70" s="139">
        <f t="shared" si="32"/>
        <v>0</v>
      </c>
      <c r="H70" s="140">
        <f t="shared" si="33"/>
        <v>-0.99998842592592596</v>
      </c>
      <c r="I70" s="141">
        <f t="shared" si="34"/>
        <v>0</v>
      </c>
      <c r="J70" s="141">
        <f t="shared" si="35"/>
        <v>14</v>
      </c>
      <c r="K70" s="141">
        <f t="shared" si="36"/>
        <v>0</v>
      </c>
      <c r="L70" s="141" t="e">
        <f t="shared" si="37"/>
        <v>#N/A</v>
      </c>
      <c r="M70" s="141" t="e">
        <f t="shared" si="38"/>
        <v>#N/A</v>
      </c>
      <c r="N70" s="141" t="e">
        <f t="shared" si="39"/>
        <v>#N/A</v>
      </c>
      <c r="O70" s="142" t="e">
        <f t="shared" si="40"/>
        <v>#N/A</v>
      </c>
      <c r="P70" s="137">
        <f t="shared" si="41"/>
        <v>0</v>
      </c>
      <c r="Q70" s="137">
        <f t="shared" si="42"/>
        <v>0</v>
      </c>
      <c r="R70" s="137" t="e">
        <f t="shared" si="43"/>
        <v>#N/A</v>
      </c>
      <c r="S70" s="82"/>
      <c r="T70" s="83"/>
      <c r="U70" s="84"/>
      <c r="V70" s="85"/>
      <c r="W70" s="83"/>
      <c r="X70" s="84"/>
      <c r="Y70" s="85"/>
      <c r="Z70" s="83"/>
      <c r="AA70" s="84"/>
      <c r="AB70" s="85"/>
      <c r="AC70" s="83"/>
      <c r="AD70" s="84"/>
      <c r="AE70" s="85"/>
      <c r="AF70" s="83"/>
      <c r="AG70" s="84"/>
      <c r="AH70" s="85"/>
      <c r="AI70" s="83"/>
      <c r="AJ70" s="84"/>
      <c r="AK70" s="85"/>
      <c r="AL70" s="83"/>
      <c r="AM70" s="84"/>
      <c r="AN70" s="30">
        <f>TourHours(S70:AM70,0)</f>
        <v>0</v>
      </c>
      <c r="AO70" s="82"/>
      <c r="AP70" s="83"/>
      <c r="AQ70" s="84"/>
      <c r="AR70" s="85"/>
      <c r="AS70" s="83"/>
      <c r="AT70" s="84"/>
      <c r="AU70" s="85"/>
      <c r="AV70" s="83"/>
      <c r="AW70" s="84"/>
      <c r="AX70" s="85"/>
      <c r="AY70" s="83"/>
      <c r="AZ70" s="84"/>
      <c r="BA70" s="85"/>
      <c r="BB70" s="83"/>
      <c r="BC70" s="84"/>
      <c r="BD70" s="85"/>
      <c r="BE70" s="83"/>
      <c r="BF70" s="84"/>
      <c r="BG70" s="85"/>
      <c r="BH70" s="83"/>
      <c r="BI70" s="84"/>
      <c r="BJ70" s="30">
        <f t="shared" si="44"/>
        <v>0</v>
      </c>
      <c r="BK70" s="30">
        <f t="shared" si="45"/>
        <v>0</v>
      </c>
      <c r="BL70" s="31"/>
      <c r="BM70" s="114"/>
      <c r="BN70" s="31"/>
      <c r="BP70" s="25"/>
      <c r="BQ70" s="27"/>
      <c r="BR70" s="28"/>
      <c r="BS70" s="29"/>
      <c r="BT70" s="27"/>
      <c r="BU70" s="28"/>
      <c r="BV70" s="29"/>
      <c r="BW70" s="27"/>
      <c r="BX70" s="28"/>
      <c r="BY70" s="29"/>
      <c r="BZ70" s="27"/>
      <c r="CA70" s="28"/>
      <c r="CB70" s="29"/>
      <c r="CC70" s="27"/>
      <c r="CD70" s="28"/>
      <c r="CE70" s="29"/>
      <c r="CF70" s="27"/>
      <c r="CG70" s="28"/>
      <c r="CH70" s="29"/>
      <c r="CI70" s="27"/>
      <c r="CJ70" s="28"/>
      <c r="CK70" s="133"/>
      <c r="CL70" s="133"/>
    </row>
    <row r="71" spans="1:90" ht="20.100000000000001" customHeight="1" x14ac:dyDescent="0.2">
      <c r="A71" s="24"/>
      <c r="B71" s="24"/>
      <c r="C71" s="24"/>
      <c r="D71" s="133"/>
      <c r="E71" s="133"/>
      <c r="F71" s="112"/>
      <c r="G71" s="112"/>
      <c r="H71" s="117"/>
      <c r="I71" s="116"/>
      <c r="J71" s="116"/>
      <c r="K71" s="116"/>
      <c r="L71" s="116"/>
      <c r="M71" s="116"/>
      <c r="N71" s="116"/>
      <c r="O71" s="26"/>
      <c r="P71" s="24"/>
      <c r="Q71" s="24"/>
      <c r="R71" s="24"/>
      <c r="S71" s="82"/>
      <c r="T71" s="83"/>
      <c r="U71" s="84"/>
      <c r="V71" s="85"/>
      <c r="W71" s="83"/>
      <c r="X71" s="84"/>
      <c r="Y71" s="85"/>
      <c r="Z71" s="83"/>
      <c r="AA71" s="84"/>
      <c r="AB71" s="85"/>
      <c r="AC71" s="83"/>
      <c r="AD71" s="84"/>
      <c r="AE71" s="85"/>
      <c r="AF71" s="83"/>
      <c r="AG71" s="84"/>
      <c r="AH71" s="85"/>
      <c r="AI71" s="83"/>
      <c r="AJ71" s="84"/>
      <c r="AK71" s="85"/>
      <c r="AL71" s="83"/>
      <c r="AM71" s="84"/>
      <c r="AN71" s="134"/>
      <c r="AO71" s="82"/>
      <c r="AP71" s="83"/>
      <c r="AQ71" s="84"/>
      <c r="AR71" s="85"/>
      <c r="AS71" s="83"/>
      <c r="AT71" s="84"/>
      <c r="AU71" s="85"/>
      <c r="AV71" s="83"/>
      <c r="AW71" s="84"/>
      <c r="AX71" s="85"/>
      <c r="AY71" s="83"/>
      <c r="AZ71" s="84"/>
      <c r="BA71" s="85"/>
      <c r="BB71" s="83"/>
      <c r="BC71" s="84"/>
      <c r="BD71" s="85"/>
      <c r="BE71" s="83"/>
      <c r="BF71" s="84"/>
      <c r="BG71" s="85"/>
      <c r="BH71" s="83"/>
      <c r="BI71" s="84"/>
      <c r="BJ71" s="134"/>
      <c r="BK71" s="134"/>
      <c r="BL71" s="31"/>
      <c r="BM71" s="114"/>
      <c r="BN71" s="31"/>
      <c r="BP71" s="25">
        <v>0.95833333333333337</v>
      </c>
      <c r="BQ71" s="27" t="s">
        <v>43</v>
      </c>
      <c r="BR71" s="28">
        <v>1.2916666666666667</v>
      </c>
      <c r="BS71" s="29">
        <v>0.95833333333333337</v>
      </c>
      <c r="BT71" s="27" t="s">
        <v>43</v>
      </c>
      <c r="BU71" s="28">
        <v>1.2916666666666667</v>
      </c>
      <c r="BV71" s="29">
        <v>0.95833333333333337</v>
      </c>
      <c r="BW71" s="27" t="s">
        <v>43</v>
      </c>
      <c r="BX71" s="28">
        <v>1.2916666666666667</v>
      </c>
      <c r="BY71" s="29"/>
      <c r="BZ71" s="27" t="s">
        <v>42</v>
      </c>
      <c r="CA71" s="28"/>
      <c r="CB71" s="29">
        <v>0.95833333333333337</v>
      </c>
      <c r="CC71" s="27" t="s">
        <v>43</v>
      </c>
      <c r="CD71" s="28">
        <v>1.2916666666666667</v>
      </c>
      <c r="CE71" s="29">
        <v>0.95833333333333337</v>
      </c>
      <c r="CF71" s="27" t="s">
        <v>43</v>
      </c>
      <c r="CG71" s="28">
        <v>1.2916666666666667</v>
      </c>
      <c r="CH71" s="29"/>
      <c r="CI71" s="27" t="s">
        <v>42</v>
      </c>
      <c r="CJ71" s="28"/>
      <c r="CK71" s="133">
        <v>31</v>
      </c>
      <c r="CL71" s="133">
        <v>1</v>
      </c>
    </row>
    <row r="72" spans="1:90" x14ac:dyDescent="0.2">
      <c r="A72"/>
      <c r="B72"/>
      <c r="C72"/>
      <c r="D72"/>
      <c r="E72"/>
      <c r="F72"/>
      <c r="G72"/>
      <c r="H72"/>
      <c r="I72"/>
      <c r="J72"/>
      <c r="K72"/>
      <c r="L72"/>
      <c r="M72"/>
      <c r="N72"/>
      <c r="O72"/>
      <c r="P72"/>
      <c r="Q72"/>
      <c r="R72"/>
      <c r="S72" s="82"/>
      <c r="T72" s="83" t="s">
        <v>42</v>
      </c>
      <c r="U72" s="84"/>
      <c r="V72" s="85"/>
      <c r="W72" s="83" t="s">
        <v>42</v>
      </c>
      <c r="X72" s="84"/>
      <c r="Y72" s="85"/>
      <c r="Z72" s="83" t="s">
        <v>42</v>
      </c>
      <c r="AA72" s="84"/>
      <c r="AB72" s="85"/>
      <c r="AC72" s="83" t="s">
        <v>42</v>
      </c>
      <c r="AD72" s="84"/>
      <c r="AE72" s="85"/>
      <c r="AF72" s="83" t="s">
        <v>42</v>
      </c>
      <c r="AG72" s="84"/>
      <c r="AH72" s="85"/>
      <c r="AI72" s="83" t="s">
        <v>42</v>
      </c>
      <c r="AJ72" s="84"/>
      <c r="AK72" s="85"/>
      <c r="AL72" s="83" t="s">
        <v>42</v>
      </c>
      <c r="AM72" s="84"/>
      <c r="AN72"/>
      <c r="AO72" s="82"/>
      <c r="AP72" s="83" t="s">
        <v>42</v>
      </c>
      <c r="AQ72" s="84"/>
      <c r="AR72" s="85"/>
      <c r="AS72" s="83" t="s">
        <v>42</v>
      </c>
      <c r="AT72" s="84"/>
      <c r="AU72" s="85"/>
      <c r="AV72" s="83" t="s">
        <v>42</v>
      </c>
      <c r="AW72" s="84"/>
      <c r="AX72" s="85"/>
      <c r="AY72" s="83" t="s">
        <v>42</v>
      </c>
      <c r="AZ72" s="84"/>
      <c r="BA72" s="85"/>
      <c r="BB72" s="83" t="s">
        <v>42</v>
      </c>
      <c r="BC72" s="84"/>
      <c r="BD72" s="85"/>
      <c r="BE72" s="83" t="s">
        <v>42</v>
      </c>
      <c r="BF72" s="84"/>
      <c r="BG72" s="85"/>
      <c r="BH72" s="83" t="s">
        <v>42</v>
      </c>
      <c r="BI72" s="84"/>
      <c r="BJ72"/>
      <c r="BK72"/>
    </row>
    <row r="73" spans="1:9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row>
    <row r="74" spans="1:90"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row>
    <row r="75" spans="1:9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row>
    <row r="76" spans="1:9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row>
    <row r="77" spans="1:9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row>
    <row r="78" spans="1:9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row>
    <row r="79" spans="1:90"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row>
    <row r="80" spans="1:9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row>
    <row r="81" spans="1:63" ht="6.75" customHeigh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row>
    <row r="82" spans="1:63" ht="33.75" customHeight="1" x14ac:dyDescent="0.2">
      <c r="A82"/>
      <c r="B82"/>
      <c r="C82"/>
      <c r="D82"/>
      <c r="E82"/>
      <c r="F82"/>
      <c r="G82"/>
      <c r="H82"/>
      <c r="I82"/>
      <c r="J82"/>
      <c r="K82"/>
      <c r="L82"/>
      <c r="M82"/>
      <c r="N82"/>
      <c r="O82"/>
      <c r="P82" s="18"/>
      <c r="Q82" s="18"/>
      <c r="R82" s="19"/>
      <c r="S82" s="183" t="s">
        <v>121</v>
      </c>
      <c r="T82" s="184"/>
      <c r="U82" s="184"/>
      <c r="V82" s="184"/>
      <c r="W82" s="184"/>
      <c r="X82" s="184"/>
      <c r="Y82" s="184"/>
      <c r="Z82" s="184"/>
      <c r="AA82" s="184"/>
      <c r="AB82" s="184"/>
      <c r="AC82" s="184"/>
      <c r="AD82" s="184"/>
      <c r="AE82" s="184"/>
      <c r="AF82" s="184"/>
      <c r="AG82" s="184"/>
      <c r="AH82" s="184"/>
      <c r="AI82" s="184"/>
      <c r="AJ82" s="184"/>
      <c r="AK82" s="184"/>
      <c r="AL82" s="184"/>
      <c r="AM82" s="184"/>
      <c r="AN82" s="185"/>
      <c r="AO82"/>
      <c r="AP82"/>
      <c r="AQ82"/>
      <c r="AR82"/>
      <c r="AS82"/>
      <c r="AT82"/>
      <c r="AU82"/>
      <c r="AV82"/>
      <c r="AW82"/>
      <c r="AX82"/>
      <c r="AY82"/>
      <c r="AZ82"/>
      <c r="BA82"/>
      <c r="BB82"/>
      <c r="BC82"/>
      <c r="BD82"/>
      <c r="BE82"/>
      <c r="BF82"/>
      <c r="BG82"/>
      <c r="BH82"/>
      <c r="BI82"/>
      <c r="BJ82"/>
      <c r="BK82"/>
    </row>
    <row r="83" spans="1:63" x14ac:dyDescent="0.2">
      <c r="A83"/>
      <c r="B83"/>
      <c r="C83"/>
      <c r="D83"/>
      <c r="E83"/>
      <c r="F83"/>
      <c r="G83"/>
      <c r="H83"/>
      <c r="I83"/>
      <c r="J83"/>
      <c r="K83"/>
      <c r="L83"/>
      <c r="M83"/>
      <c r="N83"/>
      <c r="O83" s="20" t="s">
        <v>123</v>
      </c>
      <c r="P83" s="20" t="s">
        <v>25</v>
      </c>
      <c r="Q83" s="20" t="s">
        <v>28</v>
      </c>
      <c r="R83" s="20" t="s">
        <v>2</v>
      </c>
      <c r="S83" s="21" t="s">
        <v>33</v>
      </c>
      <c r="T83" s="21"/>
      <c r="U83" s="22"/>
      <c r="V83" s="21" t="s">
        <v>34</v>
      </c>
      <c r="W83" s="21"/>
      <c r="X83" s="22"/>
      <c r="Y83" s="21" t="s">
        <v>35</v>
      </c>
      <c r="Z83" s="21"/>
      <c r="AA83" s="22"/>
      <c r="AB83" s="21" t="s">
        <v>36</v>
      </c>
      <c r="AC83" s="21"/>
      <c r="AD83" s="22"/>
      <c r="AE83" s="21" t="s">
        <v>37</v>
      </c>
      <c r="AF83" s="21"/>
      <c r="AG83" s="22"/>
      <c r="AH83" s="21" t="s">
        <v>38</v>
      </c>
      <c r="AI83" s="21"/>
      <c r="AJ83" s="22"/>
      <c r="AK83" s="21" t="s">
        <v>39</v>
      </c>
      <c r="AL83" s="21"/>
      <c r="AM83" s="22"/>
      <c r="AN83" s="23" t="s">
        <v>40</v>
      </c>
      <c r="AO83"/>
      <c r="AP83"/>
      <c r="AQ83"/>
      <c r="AR83"/>
      <c r="AS83"/>
      <c r="AT83"/>
      <c r="AU83"/>
      <c r="AV83"/>
      <c r="AW83"/>
      <c r="AX83"/>
      <c r="AY83"/>
      <c r="AZ83"/>
      <c r="BA83"/>
      <c r="BB83"/>
      <c r="BC83"/>
      <c r="BD83"/>
      <c r="BE83"/>
      <c r="BF83"/>
      <c r="BG83"/>
      <c r="BH83"/>
      <c r="BI83"/>
      <c r="BJ83"/>
      <c r="BK83"/>
    </row>
    <row r="84" spans="1:63" ht="18" customHeight="1" x14ac:dyDescent="0.25">
      <c r="A84"/>
      <c r="B84"/>
      <c r="C84"/>
      <c r="D84"/>
      <c r="E84"/>
      <c r="F84"/>
      <c r="G84"/>
      <c r="H84"/>
      <c r="I84"/>
      <c r="J84"/>
      <c r="K84"/>
      <c r="L84"/>
      <c r="M84"/>
      <c r="N84"/>
      <c r="O84" s="20">
        <v>1</v>
      </c>
      <c r="P84" s="137">
        <v>8</v>
      </c>
      <c r="Q84" s="137">
        <v>5</v>
      </c>
      <c r="R84" s="137" t="s">
        <v>116</v>
      </c>
      <c r="S84" s="82">
        <v>0.29166666666666669</v>
      </c>
      <c r="T84" s="83" t="s">
        <v>43</v>
      </c>
      <c r="U84" s="84">
        <v>0.625</v>
      </c>
      <c r="V84" s="85"/>
      <c r="W84" s="83" t="s">
        <v>42</v>
      </c>
      <c r="X84" s="84"/>
      <c r="Y84" s="85">
        <v>0.29166666666666669</v>
      </c>
      <c r="Z84" s="83" t="s">
        <v>43</v>
      </c>
      <c r="AA84" s="84">
        <v>0.625</v>
      </c>
      <c r="AB84" s="85">
        <v>0.29166666666666669</v>
      </c>
      <c r="AC84" s="83" t="s">
        <v>43</v>
      </c>
      <c r="AD84" s="84">
        <v>0.625</v>
      </c>
      <c r="AE84" s="85">
        <v>0.29166666666666669</v>
      </c>
      <c r="AF84" s="83" t="s">
        <v>43</v>
      </c>
      <c r="AG84" s="84">
        <v>0.625</v>
      </c>
      <c r="AH84" s="85">
        <v>0.29166666666666669</v>
      </c>
      <c r="AI84" s="83" t="s">
        <v>43</v>
      </c>
      <c r="AJ84" s="84">
        <v>0.625</v>
      </c>
      <c r="AK84" s="85"/>
      <c r="AL84" s="83" t="s">
        <v>42</v>
      </c>
      <c r="AM84" s="84"/>
      <c r="AN84" s="146">
        <v>40</v>
      </c>
      <c r="AO84"/>
      <c r="AP84"/>
      <c r="AQ84"/>
      <c r="AR84"/>
      <c r="AS84"/>
      <c r="AT84"/>
      <c r="AU84"/>
      <c r="AV84"/>
      <c r="AW84"/>
      <c r="AX84"/>
      <c r="AY84"/>
      <c r="AZ84"/>
      <c r="BA84"/>
      <c r="BB84"/>
      <c r="BC84"/>
      <c r="BD84"/>
      <c r="BE84"/>
      <c r="BF84"/>
      <c r="BG84"/>
      <c r="BH84"/>
      <c r="BI84"/>
      <c r="BJ84"/>
      <c r="BK84"/>
    </row>
    <row r="85" spans="1:63" ht="18" customHeight="1" x14ac:dyDescent="0.25">
      <c r="A85"/>
      <c r="B85"/>
      <c r="C85"/>
      <c r="D85"/>
      <c r="E85"/>
      <c r="F85"/>
      <c r="G85"/>
      <c r="H85"/>
      <c r="I85"/>
      <c r="J85"/>
      <c r="K85"/>
      <c r="L85"/>
      <c r="M85"/>
      <c r="N85"/>
      <c r="O85" s="20">
        <v>2</v>
      </c>
      <c r="P85" s="137">
        <v>8</v>
      </c>
      <c r="Q85" s="137">
        <v>5</v>
      </c>
      <c r="R85" s="137" t="s">
        <v>116</v>
      </c>
      <c r="S85" s="82">
        <v>0.29166666666666669</v>
      </c>
      <c r="T85" s="83" t="s">
        <v>43</v>
      </c>
      <c r="U85" s="84">
        <v>0.625</v>
      </c>
      <c r="V85" s="85">
        <v>0.29166666666666669</v>
      </c>
      <c r="W85" s="83" t="s">
        <v>43</v>
      </c>
      <c r="X85" s="84">
        <v>0.625</v>
      </c>
      <c r="Y85" s="85"/>
      <c r="Z85" s="83" t="s">
        <v>42</v>
      </c>
      <c r="AA85" s="84"/>
      <c r="AB85" s="85"/>
      <c r="AC85" s="83" t="s">
        <v>42</v>
      </c>
      <c r="AD85" s="84"/>
      <c r="AE85" s="85">
        <v>0.29166666666666669</v>
      </c>
      <c r="AF85" s="83" t="s">
        <v>43</v>
      </c>
      <c r="AG85" s="84">
        <v>0.625</v>
      </c>
      <c r="AH85" s="85">
        <v>0.29166666666666669</v>
      </c>
      <c r="AI85" s="83" t="s">
        <v>43</v>
      </c>
      <c r="AJ85" s="84">
        <v>0.625</v>
      </c>
      <c r="AK85" s="85">
        <v>0.29166666666666669</v>
      </c>
      <c r="AL85" s="83" t="s">
        <v>43</v>
      </c>
      <c r="AM85" s="84">
        <v>0.625</v>
      </c>
      <c r="AN85" s="146">
        <v>40</v>
      </c>
      <c r="AO85"/>
      <c r="AP85"/>
      <c r="AQ85"/>
      <c r="AR85"/>
      <c r="AS85"/>
      <c r="AT85"/>
      <c r="AU85"/>
      <c r="AV85"/>
      <c r="AW85"/>
      <c r="AX85"/>
      <c r="AY85"/>
      <c r="AZ85"/>
      <c r="BA85"/>
      <c r="BB85"/>
      <c r="BC85"/>
      <c r="BD85"/>
      <c r="BE85"/>
      <c r="BF85"/>
      <c r="BG85"/>
      <c r="BH85"/>
      <c r="BI85"/>
      <c r="BJ85"/>
      <c r="BK85"/>
    </row>
    <row r="86" spans="1:63" ht="18" customHeight="1" x14ac:dyDescent="0.25">
      <c r="A86"/>
      <c r="B86"/>
      <c r="C86"/>
      <c r="D86"/>
      <c r="E86"/>
      <c r="F86"/>
      <c r="G86"/>
      <c r="H86"/>
      <c r="I86"/>
      <c r="J86"/>
      <c r="K86"/>
      <c r="L86"/>
      <c r="M86"/>
      <c r="N86"/>
      <c r="O86" s="20">
        <v>3</v>
      </c>
      <c r="P86" s="154">
        <v>8</v>
      </c>
      <c r="Q86" s="154">
        <v>5</v>
      </c>
      <c r="R86" s="154" t="s">
        <v>116</v>
      </c>
      <c r="S86" s="82">
        <v>0.625</v>
      </c>
      <c r="T86" s="83" t="s">
        <v>43</v>
      </c>
      <c r="U86" s="84">
        <v>0.95833333333333337</v>
      </c>
      <c r="V86" s="85"/>
      <c r="W86" s="83" t="s">
        <v>42</v>
      </c>
      <c r="X86" s="84"/>
      <c r="Y86" s="85">
        <v>0.625</v>
      </c>
      <c r="Z86" s="83" t="s">
        <v>43</v>
      </c>
      <c r="AA86" s="84">
        <v>0.95833333333333337</v>
      </c>
      <c r="AB86" s="85">
        <v>0.625</v>
      </c>
      <c r="AC86" s="83" t="s">
        <v>43</v>
      </c>
      <c r="AD86" s="84">
        <v>0.95833333333333337</v>
      </c>
      <c r="AE86" s="85">
        <v>0.625</v>
      </c>
      <c r="AF86" s="83" t="s">
        <v>43</v>
      </c>
      <c r="AG86" s="84">
        <v>0.95833333333333337</v>
      </c>
      <c r="AH86" s="85">
        <v>0.625</v>
      </c>
      <c r="AI86" s="83" t="s">
        <v>43</v>
      </c>
      <c r="AJ86" s="84">
        <v>0.95833333333333337</v>
      </c>
      <c r="AK86" s="85"/>
      <c r="AL86" s="83" t="s">
        <v>42</v>
      </c>
      <c r="AM86" s="84"/>
      <c r="AN86" s="146">
        <v>40</v>
      </c>
      <c r="AO86"/>
      <c r="AP86"/>
      <c r="AQ86"/>
      <c r="AR86"/>
      <c r="AS86"/>
      <c r="AT86"/>
      <c r="AU86"/>
      <c r="AV86"/>
      <c r="AW86"/>
      <c r="AX86"/>
      <c r="AY86"/>
      <c r="AZ86"/>
      <c r="BA86"/>
      <c r="BB86"/>
      <c r="BC86"/>
      <c r="BD86"/>
      <c r="BE86"/>
      <c r="BF86"/>
      <c r="BG86"/>
      <c r="BH86"/>
      <c r="BI86"/>
      <c r="BJ86"/>
      <c r="BK86"/>
    </row>
    <row r="87" spans="1:63" ht="18" customHeight="1" x14ac:dyDescent="0.25">
      <c r="A87"/>
      <c r="B87"/>
      <c r="C87"/>
      <c r="D87"/>
      <c r="E87"/>
      <c r="F87"/>
      <c r="G87"/>
      <c r="H87"/>
      <c r="I87"/>
      <c r="J87"/>
      <c r="K87"/>
      <c r="L87"/>
      <c r="M87"/>
      <c r="N87"/>
      <c r="O87" s="20">
        <v>4</v>
      </c>
      <c r="P87" s="154">
        <v>10</v>
      </c>
      <c r="Q87" s="154">
        <v>4</v>
      </c>
      <c r="R87" s="154" t="s">
        <v>119</v>
      </c>
      <c r="S87" s="82"/>
      <c r="T87" s="83" t="s">
        <v>42</v>
      </c>
      <c r="U87" s="84"/>
      <c r="V87" s="85">
        <v>0.375</v>
      </c>
      <c r="W87" s="83" t="s">
        <v>43</v>
      </c>
      <c r="X87" s="84">
        <v>0.79166666666666663</v>
      </c>
      <c r="Y87" s="85">
        <v>0.375</v>
      </c>
      <c r="Z87" s="83" t="s">
        <v>43</v>
      </c>
      <c r="AA87" s="84">
        <v>0.79166666666666663</v>
      </c>
      <c r="AB87" s="85"/>
      <c r="AC87" s="83" t="s">
        <v>42</v>
      </c>
      <c r="AD87" s="84"/>
      <c r="AE87" s="85">
        <v>0.375</v>
      </c>
      <c r="AF87" s="83" t="s">
        <v>43</v>
      </c>
      <c r="AG87" s="84">
        <v>0.79166666666666663</v>
      </c>
      <c r="AH87" s="85">
        <v>0.375</v>
      </c>
      <c r="AI87" s="83" t="s">
        <v>43</v>
      </c>
      <c r="AJ87" s="84">
        <v>0.79166666666666663</v>
      </c>
      <c r="AK87" s="85"/>
      <c r="AL87" s="83" t="s">
        <v>42</v>
      </c>
      <c r="AM87" s="84"/>
      <c r="AN87" s="146">
        <v>40</v>
      </c>
      <c r="AO87"/>
      <c r="AP87"/>
      <c r="AQ87"/>
      <c r="AR87"/>
      <c r="AS87"/>
      <c r="AT87"/>
      <c r="AU87"/>
      <c r="AV87"/>
      <c r="AW87"/>
      <c r="AX87"/>
      <c r="AY87"/>
      <c r="AZ87"/>
      <c r="BA87"/>
      <c r="BB87"/>
      <c r="BC87"/>
      <c r="BD87"/>
      <c r="BE87"/>
      <c r="BF87"/>
      <c r="BG87"/>
      <c r="BH87"/>
      <c r="BI87"/>
      <c r="BJ87"/>
      <c r="BK87"/>
    </row>
    <row r="88" spans="1:63" ht="18" customHeight="1" x14ac:dyDescent="0.25">
      <c r="A88"/>
      <c r="B88"/>
      <c r="C88"/>
      <c r="D88"/>
      <c r="E88"/>
      <c r="F88"/>
      <c r="G88"/>
      <c r="H88"/>
      <c r="I88"/>
      <c r="J88"/>
      <c r="K88"/>
      <c r="L88"/>
      <c r="M88"/>
      <c r="N88"/>
      <c r="O88" s="20">
        <v>5</v>
      </c>
      <c r="P88" s="137">
        <v>10</v>
      </c>
      <c r="Q88" s="137">
        <v>4</v>
      </c>
      <c r="R88" s="137" t="s">
        <v>119</v>
      </c>
      <c r="S88" s="82"/>
      <c r="T88" s="83" t="s">
        <v>42</v>
      </c>
      <c r="U88" s="84"/>
      <c r="V88" s="85"/>
      <c r="W88" s="83" t="s">
        <v>42</v>
      </c>
      <c r="X88" s="84"/>
      <c r="Y88" s="85">
        <v>0.91666666666666663</v>
      </c>
      <c r="Z88" s="83" t="s">
        <v>43</v>
      </c>
      <c r="AA88" s="84">
        <v>0.33333333333333331</v>
      </c>
      <c r="AB88" s="85">
        <v>0.91666666666666663</v>
      </c>
      <c r="AC88" s="83" t="s">
        <v>43</v>
      </c>
      <c r="AD88" s="84">
        <v>0.33333333333333331</v>
      </c>
      <c r="AE88" s="85">
        <v>0.91666666666666663</v>
      </c>
      <c r="AF88" s="83" t="s">
        <v>43</v>
      </c>
      <c r="AG88" s="84">
        <v>0.33333333333333331</v>
      </c>
      <c r="AH88" s="85"/>
      <c r="AI88" s="83" t="s">
        <v>42</v>
      </c>
      <c r="AJ88" s="84"/>
      <c r="AK88" s="85">
        <v>0.91666666666666663</v>
      </c>
      <c r="AL88" s="83" t="s">
        <v>43</v>
      </c>
      <c r="AM88" s="84">
        <v>0.33333333333333331</v>
      </c>
      <c r="AN88" s="146">
        <v>40</v>
      </c>
      <c r="AO88"/>
      <c r="AP88"/>
      <c r="AQ88"/>
      <c r="AR88"/>
      <c r="AS88"/>
      <c r="AT88"/>
      <c r="AU88"/>
      <c r="AV88"/>
      <c r="AW88"/>
      <c r="AX88"/>
      <c r="AY88"/>
      <c r="AZ88"/>
      <c r="BA88"/>
      <c r="BB88"/>
      <c r="BC88"/>
      <c r="BD88"/>
      <c r="BE88"/>
      <c r="BF88"/>
      <c r="BG88"/>
      <c r="BH88"/>
      <c r="BI88"/>
      <c r="BJ88"/>
      <c r="BK88"/>
    </row>
    <row r="89" spans="1:63" ht="18" customHeight="1" x14ac:dyDescent="0.25">
      <c r="O89" s="20">
        <v>6</v>
      </c>
      <c r="P89" s="137">
        <v>10</v>
      </c>
      <c r="Q89" s="137">
        <v>4</v>
      </c>
      <c r="R89" s="137" t="s">
        <v>119</v>
      </c>
      <c r="S89" s="82">
        <v>0.95833333333333337</v>
      </c>
      <c r="T89" s="83" t="s">
        <v>43</v>
      </c>
      <c r="U89" s="84">
        <v>0.375</v>
      </c>
      <c r="V89" s="85">
        <v>0.95833333333333337</v>
      </c>
      <c r="W89" s="83" t="s">
        <v>43</v>
      </c>
      <c r="X89" s="84">
        <v>0.375</v>
      </c>
      <c r="Y89" s="85"/>
      <c r="Z89" s="83" t="s">
        <v>42</v>
      </c>
      <c r="AA89" s="84"/>
      <c r="AB89" s="85">
        <v>0.95833333333333337</v>
      </c>
      <c r="AC89" s="83" t="s">
        <v>43</v>
      </c>
      <c r="AD89" s="84">
        <v>0.375</v>
      </c>
      <c r="AE89" s="85"/>
      <c r="AF89" s="83" t="s">
        <v>42</v>
      </c>
      <c r="AG89" s="84"/>
      <c r="AH89" s="85">
        <v>0.95833333333333337</v>
      </c>
      <c r="AI89" s="83" t="s">
        <v>43</v>
      </c>
      <c r="AJ89" s="84">
        <v>0.375</v>
      </c>
      <c r="AK89" s="85"/>
      <c r="AL89" s="83" t="s">
        <v>42</v>
      </c>
      <c r="AM89" s="84"/>
      <c r="AN89" s="146">
        <v>40</v>
      </c>
      <c r="AO89"/>
      <c r="AP89"/>
      <c r="AQ89"/>
    </row>
    <row r="90" spans="1:63" ht="18" customHeight="1" x14ac:dyDescent="0.25">
      <c r="O90" s="20">
        <v>7</v>
      </c>
      <c r="P90" s="137">
        <v>12.000000000000002</v>
      </c>
      <c r="Q90" s="137">
        <v>3</v>
      </c>
      <c r="R90" s="137" t="s">
        <v>117</v>
      </c>
      <c r="S90" s="82"/>
      <c r="T90" s="83" t="s">
        <v>42</v>
      </c>
      <c r="U90" s="84"/>
      <c r="V90" s="85"/>
      <c r="W90" s="83" t="s">
        <v>42</v>
      </c>
      <c r="X90" s="84"/>
      <c r="Y90" s="85">
        <v>0.29166666666666669</v>
      </c>
      <c r="Z90" s="83" t="s">
        <v>43</v>
      </c>
      <c r="AA90" s="84">
        <v>0.79166666666666674</v>
      </c>
      <c r="AB90" s="85">
        <v>0.29166666666666669</v>
      </c>
      <c r="AC90" s="83" t="s">
        <v>43</v>
      </c>
      <c r="AD90" s="84">
        <v>0.79166666666666674</v>
      </c>
      <c r="AE90" s="85"/>
      <c r="AF90" s="83" t="s">
        <v>42</v>
      </c>
      <c r="AG90" s="84"/>
      <c r="AH90" s="85"/>
      <c r="AI90" s="83" t="s">
        <v>42</v>
      </c>
      <c r="AJ90" s="84"/>
      <c r="AK90" s="85">
        <v>0.29166666666666669</v>
      </c>
      <c r="AL90" s="83" t="s">
        <v>43</v>
      </c>
      <c r="AM90" s="84">
        <v>0.79166666666666674</v>
      </c>
      <c r="AN90" s="146">
        <v>36.000000000000007</v>
      </c>
      <c r="AO90"/>
      <c r="AP90"/>
      <c r="AQ90"/>
    </row>
    <row r="91" spans="1:63" ht="18" customHeight="1" x14ac:dyDescent="0.25">
      <c r="O91" s="20">
        <v>8</v>
      </c>
      <c r="P91" s="137">
        <v>12.000000000000002</v>
      </c>
      <c r="Q91" s="137">
        <v>3</v>
      </c>
      <c r="R91" s="137" t="s">
        <v>117</v>
      </c>
      <c r="S91" s="82">
        <v>0.29166666666666669</v>
      </c>
      <c r="T91" s="83" t="s">
        <v>43</v>
      </c>
      <c r="U91" s="84">
        <v>0.79166666666666674</v>
      </c>
      <c r="V91" s="85"/>
      <c r="W91" s="83" t="s">
        <v>42</v>
      </c>
      <c r="X91" s="84"/>
      <c r="Y91" s="85">
        <v>0.29166666666666669</v>
      </c>
      <c r="Z91" s="83" t="s">
        <v>43</v>
      </c>
      <c r="AA91" s="84">
        <v>0.79166666666666674</v>
      </c>
      <c r="AB91" s="85"/>
      <c r="AC91" s="83" t="s">
        <v>42</v>
      </c>
      <c r="AD91" s="84"/>
      <c r="AE91" s="85"/>
      <c r="AF91" s="83" t="s">
        <v>42</v>
      </c>
      <c r="AG91" s="84"/>
      <c r="AH91" s="85">
        <v>0.29166666666666669</v>
      </c>
      <c r="AI91" s="83" t="s">
        <v>43</v>
      </c>
      <c r="AJ91" s="84">
        <v>0.79166666666666674</v>
      </c>
      <c r="AK91" s="85"/>
      <c r="AL91" s="83" t="s">
        <v>42</v>
      </c>
      <c r="AM91" s="84"/>
      <c r="AN91" s="146">
        <v>36.000000000000007</v>
      </c>
      <c r="AO91"/>
      <c r="AP91"/>
      <c r="AQ91"/>
    </row>
    <row r="92" spans="1:63" ht="18" customHeight="1" x14ac:dyDescent="0.25">
      <c r="O92" s="20">
        <v>9</v>
      </c>
      <c r="P92" s="137">
        <v>12.000000000000002</v>
      </c>
      <c r="Q92" s="137">
        <v>3</v>
      </c>
      <c r="R92" s="137" t="s">
        <v>117</v>
      </c>
      <c r="S92" s="82">
        <v>0.29166666666666669</v>
      </c>
      <c r="T92" s="83" t="s">
        <v>43</v>
      </c>
      <c r="U92" s="84">
        <v>0.79166666666666674</v>
      </c>
      <c r="V92" s="85"/>
      <c r="W92" s="83" t="s">
        <v>42</v>
      </c>
      <c r="X92" s="84"/>
      <c r="Y92" s="85"/>
      <c r="Z92" s="83" t="s">
        <v>42</v>
      </c>
      <c r="AA92" s="84"/>
      <c r="AB92" s="85"/>
      <c r="AC92" s="83" t="s">
        <v>42</v>
      </c>
      <c r="AD92" s="84"/>
      <c r="AE92" s="85">
        <v>0.29166666666666669</v>
      </c>
      <c r="AF92" s="83" t="s">
        <v>43</v>
      </c>
      <c r="AG92" s="84">
        <v>0.79166666666666674</v>
      </c>
      <c r="AH92" s="85"/>
      <c r="AI92" s="83" t="s">
        <v>42</v>
      </c>
      <c r="AJ92" s="84"/>
      <c r="AK92" s="85">
        <v>0.29166666666666669</v>
      </c>
      <c r="AL92" s="83" t="s">
        <v>43</v>
      </c>
      <c r="AM92" s="84">
        <v>0.79166666666666674</v>
      </c>
      <c r="AN92" s="146">
        <v>36.000000000000007</v>
      </c>
      <c r="AO92"/>
      <c r="AP92"/>
      <c r="AQ92"/>
    </row>
    <row r="93" spans="1:63" ht="18" customHeight="1" x14ac:dyDescent="0.25">
      <c r="O93" s="20">
        <v>10</v>
      </c>
      <c r="P93" s="154">
        <v>12.000000000000002</v>
      </c>
      <c r="Q93" s="154">
        <v>3</v>
      </c>
      <c r="R93" s="154" t="s">
        <v>117</v>
      </c>
      <c r="S93" s="82">
        <v>0.79166666666666663</v>
      </c>
      <c r="T93" s="83" t="s">
        <v>43</v>
      </c>
      <c r="U93" s="84">
        <v>0.29166666666666669</v>
      </c>
      <c r="V93" s="85"/>
      <c r="W93" s="83" t="s">
        <v>42</v>
      </c>
      <c r="X93" s="84"/>
      <c r="Y93" s="85"/>
      <c r="Z93" s="83" t="s">
        <v>42</v>
      </c>
      <c r="AA93" s="84"/>
      <c r="AB93" s="85"/>
      <c r="AC93" s="83" t="s">
        <v>42</v>
      </c>
      <c r="AD93" s="84"/>
      <c r="AE93" s="85">
        <v>0.79166666666666663</v>
      </c>
      <c r="AF93" s="83" t="s">
        <v>43</v>
      </c>
      <c r="AG93" s="84">
        <v>0.29166666666666669</v>
      </c>
      <c r="AH93" s="85">
        <v>0.79166666666666663</v>
      </c>
      <c r="AI93" s="83" t="s">
        <v>43</v>
      </c>
      <c r="AJ93" s="84">
        <v>0.29166666666666669</v>
      </c>
      <c r="AK93" s="85"/>
      <c r="AL93" s="83" t="s">
        <v>42</v>
      </c>
      <c r="AM93" s="84"/>
      <c r="AN93" s="146">
        <v>36.000000000000007</v>
      </c>
      <c r="AO93"/>
      <c r="AP93"/>
      <c r="AQ93"/>
    </row>
    <row r="94" spans="1:63" ht="18" customHeight="1" x14ac:dyDescent="0.25">
      <c r="O94" s="20">
        <v>11</v>
      </c>
      <c r="P94" s="137">
        <v>12.000000000000002</v>
      </c>
      <c r="Q94" s="137">
        <v>3</v>
      </c>
      <c r="R94" s="137" t="s">
        <v>117</v>
      </c>
      <c r="S94" s="82"/>
      <c r="T94" s="83" t="s">
        <v>42</v>
      </c>
      <c r="U94" s="84"/>
      <c r="V94" s="85">
        <v>0.79166666666666663</v>
      </c>
      <c r="W94" s="83" t="s">
        <v>43</v>
      </c>
      <c r="X94" s="84">
        <v>0.29166666666666669</v>
      </c>
      <c r="Y94" s="85"/>
      <c r="Z94" s="83" t="s">
        <v>42</v>
      </c>
      <c r="AA94" s="84"/>
      <c r="AB94" s="85"/>
      <c r="AC94" s="83" t="s">
        <v>42</v>
      </c>
      <c r="AD94" s="84"/>
      <c r="AE94" s="85">
        <v>0.79166666666666663</v>
      </c>
      <c r="AF94" s="83" t="s">
        <v>43</v>
      </c>
      <c r="AG94" s="84">
        <v>0.29166666666666669</v>
      </c>
      <c r="AH94" s="85"/>
      <c r="AI94" s="83" t="s">
        <v>42</v>
      </c>
      <c r="AJ94" s="84"/>
      <c r="AK94" s="85">
        <v>0.79166666666666663</v>
      </c>
      <c r="AL94" s="83" t="s">
        <v>43</v>
      </c>
      <c r="AM94" s="84">
        <v>0.29166666666666669</v>
      </c>
      <c r="AN94" s="146">
        <v>36.000000000000007</v>
      </c>
      <c r="AO94"/>
      <c r="AP94"/>
      <c r="AQ94"/>
    </row>
    <row r="95" spans="1:63" ht="18" customHeight="1" x14ac:dyDescent="0.25">
      <c r="O95" s="20">
        <v>12</v>
      </c>
      <c r="P95" s="137">
        <v>12.000000000000002</v>
      </c>
      <c r="Q95" s="137">
        <v>3</v>
      </c>
      <c r="R95" s="137" t="s">
        <v>117</v>
      </c>
      <c r="S95" s="82"/>
      <c r="T95" s="83" t="s">
        <v>42</v>
      </c>
      <c r="U95" s="84"/>
      <c r="V95" s="85">
        <v>0.79166666666666663</v>
      </c>
      <c r="W95" s="83" t="s">
        <v>43</v>
      </c>
      <c r="X95" s="84">
        <v>0.29166666666666669</v>
      </c>
      <c r="Y95" s="85">
        <v>0.79166666666666663</v>
      </c>
      <c r="Z95" s="83" t="s">
        <v>43</v>
      </c>
      <c r="AA95" s="84">
        <v>0.29166666666666669</v>
      </c>
      <c r="AB95" s="85"/>
      <c r="AC95" s="83" t="s">
        <v>42</v>
      </c>
      <c r="AD95" s="84"/>
      <c r="AE95" s="85"/>
      <c r="AF95" s="83" t="s">
        <v>42</v>
      </c>
      <c r="AG95" s="84"/>
      <c r="AH95" s="85">
        <v>0.79166666666666663</v>
      </c>
      <c r="AI95" s="83" t="s">
        <v>43</v>
      </c>
      <c r="AJ95" s="84">
        <v>0.29166666666666669</v>
      </c>
      <c r="AK95" s="85"/>
      <c r="AL95" s="83" t="s">
        <v>42</v>
      </c>
      <c r="AM95" s="84"/>
      <c r="AN95" s="146">
        <v>36.000000000000007</v>
      </c>
      <c r="AO95"/>
      <c r="AP95"/>
      <c r="AQ95"/>
    </row>
    <row r="96" spans="1:63" ht="18" customHeight="1" x14ac:dyDescent="0.25">
      <c r="O96" s="20">
        <v>13</v>
      </c>
      <c r="P96" s="154">
        <v>12.000000000000002</v>
      </c>
      <c r="Q96" s="154">
        <v>4</v>
      </c>
      <c r="R96" s="154" t="s">
        <v>118</v>
      </c>
      <c r="S96" s="82">
        <v>0.29166666666666669</v>
      </c>
      <c r="T96" s="83" t="s">
        <v>43</v>
      </c>
      <c r="U96" s="84">
        <v>0.79166666666666674</v>
      </c>
      <c r="V96" s="85">
        <v>0.29166666666666669</v>
      </c>
      <c r="W96" s="83" t="s">
        <v>43</v>
      </c>
      <c r="X96" s="84">
        <v>0.79166666666666674</v>
      </c>
      <c r="Y96" s="85">
        <v>0.29166666666666669</v>
      </c>
      <c r="Z96" s="83" t="s">
        <v>43</v>
      </c>
      <c r="AA96" s="84">
        <v>0.79166666666666674</v>
      </c>
      <c r="AB96" s="85">
        <v>0.29166666666666669</v>
      </c>
      <c r="AC96" s="83" t="s">
        <v>43</v>
      </c>
      <c r="AD96" s="84">
        <v>0.79166666666666674</v>
      </c>
      <c r="AE96" s="85"/>
      <c r="AF96" s="83" t="s">
        <v>42</v>
      </c>
      <c r="AG96" s="84"/>
      <c r="AH96" s="85"/>
      <c r="AI96" s="83" t="s">
        <v>42</v>
      </c>
      <c r="AJ96" s="84"/>
      <c r="AK96" s="85"/>
      <c r="AL96" s="83" t="s">
        <v>42</v>
      </c>
      <c r="AM96" s="84"/>
      <c r="AN96" s="146">
        <v>48.000000000000007</v>
      </c>
      <c r="AO96"/>
      <c r="AP96"/>
      <c r="AQ96"/>
    </row>
    <row r="97" spans="15:43" ht="18" customHeight="1" x14ac:dyDescent="0.25">
      <c r="O97" s="20">
        <v>14</v>
      </c>
      <c r="P97" s="154">
        <v>12.000000000000002</v>
      </c>
      <c r="Q97" s="154">
        <v>4</v>
      </c>
      <c r="R97" s="154" t="s">
        <v>118</v>
      </c>
      <c r="S97" s="82"/>
      <c r="T97" s="83" t="s">
        <v>42</v>
      </c>
      <c r="U97" s="84"/>
      <c r="V97" s="85">
        <v>0.29166666666666669</v>
      </c>
      <c r="W97" s="83" t="s">
        <v>43</v>
      </c>
      <c r="X97" s="84">
        <v>0.79166666666666674</v>
      </c>
      <c r="Y97" s="85"/>
      <c r="Z97" s="83" t="s">
        <v>42</v>
      </c>
      <c r="AA97" s="84"/>
      <c r="AB97" s="85">
        <v>0.29166666666666669</v>
      </c>
      <c r="AC97" s="83" t="s">
        <v>43</v>
      </c>
      <c r="AD97" s="84">
        <v>0.79166666666666674</v>
      </c>
      <c r="AE97" s="85"/>
      <c r="AF97" s="83" t="s">
        <v>42</v>
      </c>
      <c r="AG97" s="84"/>
      <c r="AH97" s="85">
        <v>0.29166666666666669</v>
      </c>
      <c r="AI97" s="83" t="s">
        <v>43</v>
      </c>
      <c r="AJ97" s="84">
        <v>0.79166666666666674</v>
      </c>
      <c r="AK97" s="85">
        <v>0.29166666666666669</v>
      </c>
      <c r="AL97" s="83" t="s">
        <v>43</v>
      </c>
      <c r="AM97" s="84">
        <v>0.79166666666666674</v>
      </c>
      <c r="AN97" s="146">
        <v>48.000000000000007</v>
      </c>
      <c r="AO97"/>
      <c r="AP97"/>
      <c r="AQ97"/>
    </row>
    <row r="98" spans="15:43" ht="18" customHeight="1" x14ac:dyDescent="0.25">
      <c r="O98" s="20">
        <v>15</v>
      </c>
      <c r="P98" s="137">
        <v>12.000000000000002</v>
      </c>
      <c r="Q98" s="137">
        <v>4</v>
      </c>
      <c r="R98" s="137" t="s">
        <v>118</v>
      </c>
      <c r="S98" s="82"/>
      <c r="T98" s="83" t="s">
        <v>42</v>
      </c>
      <c r="U98" s="84"/>
      <c r="V98" s="85">
        <v>0.29166666666666669</v>
      </c>
      <c r="W98" s="83" t="s">
        <v>43</v>
      </c>
      <c r="X98" s="84">
        <v>0.79166666666666674</v>
      </c>
      <c r="Y98" s="85"/>
      <c r="Z98" s="83" t="s">
        <v>42</v>
      </c>
      <c r="AA98" s="84"/>
      <c r="AB98" s="85">
        <v>0.29166666666666669</v>
      </c>
      <c r="AC98" s="83" t="s">
        <v>43</v>
      </c>
      <c r="AD98" s="84">
        <v>0.79166666666666674</v>
      </c>
      <c r="AE98" s="85">
        <v>0.29166666666666669</v>
      </c>
      <c r="AF98" s="83" t="s">
        <v>43</v>
      </c>
      <c r="AG98" s="84">
        <v>0.79166666666666674</v>
      </c>
      <c r="AH98" s="85"/>
      <c r="AI98" s="83" t="s">
        <v>42</v>
      </c>
      <c r="AJ98" s="84"/>
      <c r="AK98" s="85">
        <v>0.29166666666666669</v>
      </c>
      <c r="AL98" s="83" t="s">
        <v>43</v>
      </c>
      <c r="AM98" s="84">
        <v>0.79166666666666674</v>
      </c>
      <c r="AN98" s="146">
        <v>48.000000000000007</v>
      </c>
      <c r="AO98"/>
      <c r="AP98"/>
      <c r="AQ98"/>
    </row>
    <row r="99" spans="15:43" ht="18" customHeight="1" x14ac:dyDescent="0.25">
      <c r="O99" s="20">
        <v>16</v>
      </c>
      <c r="P99" s="137">
        <v>12.000000000000002</v>
      </c>
      <c r="Q99" s="137">
        <v>4</v>
      </c>
      <c r="R99" s="137" t="s">
        <v>118</v>
      </c>
      <c r="S99" s="82"/>
      <c r="T99" s="83" t="s">
        <v>42</v>
      </c>
      <c r="U99" s="84"/>
      <c r="V99" s="85"/>
      <c r="W99" s="83" t="s">
        <v>42</v>
      </c>
      <c r="X99" s="84"/>
      <c r="Y99" s="85">
        <v>0.79166666666666663</v>
      </c>
      <c r="Z99" s="83" t="s">
        <v>43</v>
      </c>
      <c r="AA99" s="84">
        <v>0.29166666666666669</v>
      </c>
      <c r="AB99" s="85">
        <v>0.79166666666666663</v>
      </c>
      <c r="AC99" s="83" t="s">
        <v>43</v>
      </c>
      <c r="AD99" s="84">
        <v>0.29166666666666669</v>
      </c>
      <c r="AE99" s="85"/>
      <c r="AF99" s="83" t="s">
        <v>42</v>
      </c>
      <c r="AG99" s="84"/>
      <c r="AH99" s="85">
        <v>0.79166666666666663</v>
      </c>
      <c r="AI99" s="83" t="s">
        <v>43</v>
      </c>
      <c r="AJ99" s="84">
        <v>0.29166666666666669</v>
      </c>
      <c r="AK99" s="85">
        <v>0.79166666666666663</v>
      </c>
      <c r="AL99" s="83" t="s">
        <v>43</v>
      </c>
      <c r="AM99" s="84">
        <v>0.29166666666666669</v>
      </c>
      <c r="AN99" s="146">
        <v>48.000000000000007</v>
      </c>
      <c r="AO99"/>
      <c r="AP99"/>
      <c r="AQ99"/>
    </row>
    <row r="100" spans="15:43" ht="18" customHeight="1" x14ac:dyDescent="0.25">
      <c r="O100" s="20">
        <v>17</v>
      </c>
      <c r="P100" s="137">
        <v>12.000000000000002</v>
      </c>
      <c r="Q100" s="137">
        <v>4</v>
      </c>
      <c r="R100" s="137" t="s">
        <v>118</v>
      </c>
      <c r="S100" s="82">
        <v>0.79166666666666663</v>
      </c>
      <c r="T100" s="83" t="s">
        <v>43</v>
      </c>
      <c r="U100" s="84">
        <v>0.29166666666666669</v>
      </c>
      <c r="V100" s="85">
        <v>0.79166666666666663</v>
      </c>
      <c r="W100" s="83" t="s">
        <v>43</v>
      </c>
      <c r="X100" s="84">
        <v>0.29166666666666669</v>
      </c>
      <c r="Y100" s="85"/>
      <c r="Z100" s="83" t="s">
        <v>42</v>
      </c>
      <c r="AA100" s="84"/>
      <c r="AB100" s="85">
        <v>0.79166666666666663</v>
      </c>
      <c r="AC100" s="83" t="s">
        <v>43</v>
      </c>
      <c r="AD100" s="84">
        <v>0.29166666666666669</v>
      </c>
      <c r="AE100" s="85">
        <v>0.79166666666666663</v>
      </c>
      <c r="AF100" s="83" t="s">
        <v>43</v>
      </c>
      <c r="AG100" s="84">
        <v>0.29166666666666669</v>
      </c>
      <c r="AH100" s="85"/>
      <c r="AI100" s="83" t="s">
        <v>42</v>
      </c>
      <c r="AJ100" s="84"/>
      <c r="AK100" s="85"/>
      <c r="AL100" s="83" t="s">
        <v>42</v>
      </c>
      <c r="AM100" s="84"/>
      <c r="AN100" s="146">
        <v>48.000000000000007</v>
      </c>
      <c r="AO100"/>
      <c r="AP100"/>
      <c r="AQ100"/>
    </row>
    <row r="101" spans="15:43" ht="18" customHeight="1" x14ac:dyDescent="0.25">
      <c r="O101" s="20">
        <v>18</v>
      </c>
      <c r="P101" s="154">
        <v>12.000000000000002</v>
      </c>
      <c r="Q101" s="154">
        <v>4</v>
      </c>
      <c r="R101" s="154" t="s">
        <v>118</v>
      </c>
      <c r="S101" s="82">
        <v>0.79166666666666663</v>
      </c>
      <c r="T101" s="83" t="s">
        <v>43</v>
      </c>
      <c r="U101" s="84">
        <v>0.29166666666666669</v>
      </c>
      <c r="V101" s="85">
        <v>0.79166666666666663</v>
      </c>
      <c r="W101" s="83" t="s">
        <v>43</v>
      </c>
      <c r="X101" s="84">
        <v>0.29166666666666669</v>
      </c>
      <c r="Y101" s="85">
        <v>0.79166666666666663</v>
      </c>
      <c r="Z101" s="83" t="s">
        <v>43</v>
      </c>
      <c r="AA101" s="84">
        <v>0.29166666666666669</v>
      </c>
      <c r="AB101" s="85"/>
      <c r="AC101" s="83" t="s">
        <v>42</v>
      </c>
      <c r="AD101" s="84"/>
      <c r="AE101" s="85"/>
      <c r="AF101" s="83" t="s">
        <v>42</v>
      </c>
      <c r="AG101" s="84"/>
      <c r="AH101" s="85"/>
      <c r="AI101" s="83" t="s">
        <v>42</v>
      </c>
      <c r="AJ101" s="84"/>
      <c r="AK101" s="85">
        <v>0.79166666666666663</v>
      </c>
      <c r="AL101" s="83" t="s">
        <v>43</v>
      </c>
      <c r="AM101" s="84">
        <v>0.29166666666666669</v>
      </c>
      <c r="AN101" s="146">
        <v>48.000000000000007</v>
      </c>
      <c r="AO101"/>
      <c r="AP101"/>
      <c r="AQ101"/>
    </row>
    <row r="102" spans="15:43" x14ac:dyDescent="0.2">
      <c r="AO102"/>
      <c r="AP102"/>
      <c r="AQ102"/>
    </row>
  </sheetData>
  <mergeCells count="1">
    <mergeCell ref="S82:AN82"/>
  </mergeCells>
  <phoneticPr fontId="16" type="noConversion"/>
  <conditionalFormatting sqref="L71:M71">
    <cfRule type="cellIs" dxfId="3" priority="1" stopIfTrue="1" operator="equal">
      <formula>0</formula>
    </cfRule>
  </conditionalFormatting>
  <conditionalFormatting sqref="L6:M70">
    <cfRule type="cellIs" dxfId="2" priority="2" stopIfTrue="1" operator="equal">
      <formula>"Error"</formula>
    </cfRule>
  </conditionalFormatting>
  <printOptions horizontalCentered="1"/>
  <pageMargins left="0.5" right="0.5" top="0.5" bottom="0.5" header="0.5" footer="0.5"/>
  <pageSetup scale="40" orientation="landscape" horizontalDpi="300" verticalDpi="300" r:id="rId1"/>
  <headerFooter alignWithMargins="0">
    <oddFooter>Page &amp;P</oddFooter>
  </headerFooter>
  <drawing r:id="rId2"/>
  <legacyDrawing r:id="rId3"/>
  <controls>
    <mc:AlternateContent xmlns:mc="http://schemas.openxmlformats.org/markup-compatibility/2006">
      <mc:Choice Requires="x14">
        <control shapeId="2058" r:id="rId4" name="cmdCoverage">
          <controlPr defaultSize="0" autoLine="0" r:id="rId5">
            <anchor moveWithCells="1">
              <from>
                <xdr:col>12</xdr:col>
                <xdr:colOff>142875</xdr:colOff>
                <xdr:row>1</xdr:row>
                <xdr:rowOff>28575</xdr:rowOff>
              </from>
              <to>
                <xdr:col>12</xdr:col>
                <xdr:colOff>695325</xdr:colOff>
                <xdr:row>3</xdr:row>
                <xdr:rowOff>0</xdr:rowOff>
              </to>
            </anchor>
          </controlPr>
        </control>
      </mc:Choice>
      <mc:Fallback>
        <control shapeId="2058" r:id="rId4" name="cmdCoverage"/>
      </mc:Fallback>
    </mc:AlternateContent>
    <mc:AlternateContent xmlns:mc="http://schemas.openxmlformats.org/markup-compatibility/2006">
      <mc:Choice Requires="x14">
        <control shapeId="2057" r:id="rId6" name="cmdImportDMD">
          <controlPr defaultSize="0" autoLine="0" r:id="rId7">
            <anchor moveWithCells="1">
              <from>
                <xdr:col>9</xdr:col>
                <xdr:colOff>66675</xdr:colOff>
                <xdr:row>1</xdr:row>
                <xdr:rowOff>28575</xdr:rowOff>
              </from>
              <to>
                <xdr:col>10</xdr:col>
                <xdr:colOff>381000</xdr:colOff>
                <xdr:row>3</xdr:row>
                <xdr:rowOff>0</xdr:rowOff>
              </to>
            </anchor>
          </controlPr>
        </control>
      </mc:Choice>
      <mc:Fallback>
        <control shapeId="2057" r:id="rId6" name="cmdImportDMD"/>
      </mc:Fallback>
    </mc:AlternateContent>
    <mc:AlternateContent xmlns:mc="http://schemas.openxmlformats.org/markup-compatibility/2006">
      <mc:Choice Requires="x14">
        <control shapeId="2056" r:id="rId8" name="cmdImportTTS">
          <controlPr defaultSize="0" autoLine="0" r:id="rId9">
            <anchor moveWithCells="1">
              <from>
                <xdr:col>11</xdr:col>
                <xdr:colOff>638175</xdr:colOff>
                <xdr:row>1</xdr:row>
                <xdr:rowOff>28575</xdr:rowOff>
              </from>
              <to>
                <xdr:col>12</xdr:col>
                <xdr:colOff>38100</xdr:colOff>
                <xdr:row>3</xdr:row>
                <xdr:rowOff>0</xdr:rowOff>
              </to>
            </anchor>
          </controlPr>
        </control>
      </mc:Choice>
      <mc:Fallback>
        <control shapeId="2056" r:id="rId8" name="cmdImportTTS"/>
      </mc:Fallback>
    </mc:AlternateContent>
    <mc:AlternateContent xmlns:mc="http://schemas.openxmlformats.org/markup-compatibility/2006">
      <mc:Choice Requires="x14">
        <control shapeId="2055" r:id="rId10" name="cmdImportPP2">
          <controlPr defaultSize="0" autoLine="0" r:id="rId11">
            <anchor moveWithCells="1">
              <from>
                <xdr:col>11</xdr:col>
                <xdr:colOff>0</xdr:colOff>
                <xdr:row>1</xdr:row>
                <xdr:rowOff>28575</xdr:rowOff>
              </from>
              <to>
                <xdr:col>11</xdr:col>
                <xdr:colOff>552450</xdr:colOff>
                <xdr:row>3</xdr:row>
                <xdr:rowOff>0</xdr:rowOff>
              </to>
            </anchor>
          </controlPr>
        </control>
      </mc:Choice>
      <mc:Fallback>
        <control shapeId="2055" r:id="rId10" name="cmdImportPP2"/>
      </mc:Fallback>
    </mc:AlternateContent>
    <mc:AlternateContent xmlns:mc="http://schemas.openxmlformats.org/markup-compatibility/2006">
      <mc:Choice Requires="x14">
        <control shapeId="2054" r:id="rId12" name="cmdEraseTours">
          <controlPr defaultSize="0" autoLine="0" r:id="rId13">
            <anchor moveWithCells="1">
              <from>
                <xdr:col>4</xdr:col>
                <xdr:colOff>342900</xdr:colOff>
                <xdr:row>1</xdr:row>
                <xdr:rowOff>28575</xdr:rowOff>
              </from>
              <to>
                <xdr:col>9</xdr:col>
                <xdr:colOff>9525</xdr:colOff>
                <xdr:row>3</xdr:row>
                <xdr:rowOff>0</xdr:rowOff>
              </to>
            </anchor>
          </controlPr>
        </control>
      </mc:Choice>
      <mc:Fallback>
        <control shapeId="2054" r:id="rId12" name="cmdEraseTours"/>
      </mc:Fallback>
    </mc:AlternateContent>
    <mc:AlternateContent xmlns:mc="http://schemas.openxmlformats.org/markup-compatibility/2006">
      <mc:Choice Requires="x14">
        <control shapeId="2049" r:id="rId14" name="Drop Down 1">
          <controlPr defaultSize="0" print="0" autoFill="0" autoLine="0" autoPict="0" macro="ListTime">
            <anchor moveWithCells="1">
              <from>
                <xdr:col>1</xdr:col>
                <xdr:colOff>47625</xdr:colOff>
                <xdr:row>0</xdr:row>
                <xdr:rowOff>95250</xdr:rowOff>
              </from>
              <to>
                <xdr:col>3</xdr:col>
                <xdr:colOff>304800</xdr:colOff>
                <xdr:row>2</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AR57"/>
  <sheetViews>
    <sheetView zoomScale="75" workbookViewId="0">
      <selection activeCell="J61" sqref="J60:J61"/>
    </sheetView>
  </sheetViews>
  <sheetFormatPr defaultColWidth="8" defaultRowHeight="12.75" x14ac:dyDescent="0.2"/>
  <cols>
    <col min="1" max="1" width="8" style="2" customWidth="1"/>
    <col min="2" max="2" width="9" style="2" customWidth="1"/>
    <col min="3" max="4" width="8" style="2" customWidth="1"/>
    <col min="5" max="5" width="5" style="2" customWidth="1"/>
    <col min="6" max="7" width="8" style="2" customWidth="1"/>
    <col min="8" max="8" width="5" style="2" customWidth="1"/>
    <col min="9" max="10" width="8" style="2" customWidth="1"/>
    <col min="11" max="11" width="5" style="2" customWidth="1"/>
    <col min="12" max="13" width="8" style="2" customWidth="1"/>
    <col min="14" max="14" width="5" style="2" customWidth="1"/>
    <col min="15" max="16" width="8" style="2" customWidth="1"/>
    <col min="17" max="17" width="5" style="2" customWidth="1"/>
    <col min="18" max="19" width="8" style="2" customWidth="1"/>
    <col min="20" max="20" width="5" style="2" customWidth="1"/>
    <col min="21" max="22" width="8" style="2" customWidth="1"/>
    <col min="23" max="23" width="5" style="2" customWidth="1"/>
    <col min="24" max="16384" width="8" style="2"/>
  </cols>
  <sheetData>
    <row r="1" spans="2:44" ht="18.75" x14ac:dyDescent="0.3">
      <c r="B1" s="32"/>
      <c r="C1" s="33" t="s">
        <v>44</v>
      </c>
      <c r="E1" s="33" t="s">
        <v>115</v>
      </c>
      <c r="G1" s="33"/>
    </row>
    <row r="2" spans="2:44" x14ac:dyDescent="0.2">
      <c r="B2" s="32"/>
      <c r="U2" s="69" t="s">
        <v>68</v>
      </c>
      <c r="V2" s="2">
        <v>1</v>
      </c>
    </row>
    <row r="3" spans="2:44" ht="13.5" thickBot="1" x14ac:dyDescent="0.25">
      <c r="B3" s="32"/>
    </row>
    <row r="4" spans="2:44" x14ac:dyDescent="0.2">
      <c r="B4" s="32"/>
      <c r="C4" s="34" t="s">
        <v>74</v>
      </c>
      <c r="D4" s="35"/>
      <c r="E4" s="36"/>
      <c r="F4" s="37" t="s">
        <v>76</v>
      </c>
      <c r="G4" s="37"/>
      <c r="H4" s="38"/>
      <c r="I4" s="35" t="s">
        <v>77</v>
      </c>
      <c r="J4" s="35"/>
      <c r="K4" s="36"/>
      <c r="L4" s="37" t="s">
        <v>78</v>
      </c>
      <c r="M4" s="37"/>
      <c r="N4" s="38"/>
      <c r="O4" s="35" t="s">
        <v>79</v>
      </c>
      <c r="P4" s="35"/>
      <c r="Q4" s="36"/>
      <c r="R4" s="37" t="s">
        <v>80</v>
      </c>
      <c r="S4" s="37"/>
      <c r="T4" s="38"/>
      <c r="U4" s="35" t="s">
        <v>81</v>
      </c>
      <c r="V4" s="35"/>
      <c r="W4" s="36"/>
      <c r="X4" s="34" t="s">
        <v>87</v>
      </c>
      <c r="Y4" s="35"/>
      <c r="Z4" s="36"/>
      <c r="AA4" s="37" t="s">
        <v>75</v>
      </c>
      <c r="AB4" s="37"/>
      <c r="AC4" s="38"/>
      <c r="AD4" s="35" t="s">
        <v>82</v>
      </c>
      <c r="AE4" s="35"/>
      <c r="AF4" s="36"/>
      <c r="AG4" s="37" t="s">
        <v>83</v>
      </c>
      <c r="AH4" s="37"/>
      <c r="AI4" s="38"/>
      <c r="AJ4" s="35" t="s">
        <v>84</v>
      </c>
      <c r="AK4" s="35"/>
      <c r="AL4" s="36"/>
      <c r="AM4" s="37" t="s">
        <v>85</v>
      </c>
      <c r="AN4" s="37"/>
      <c r="AO4" s="38"/>
      <c r="AP4" s="35" t="s">
        <v>86</v>
      </c>
      <c r="AQ4" s="35"/>
      <c r="AR4" s="36"/>
    </row>
    <row r="5" spans="2:44" ht="13.5" thickBot="1" x14ac:dyDescent="0.25">
      <c r="B5" s="39"/>
      <c r="C5" s="40" t="s">
        <v>45</v>
      </c>
      <c r="D5" s="41" t="s">
        <v>46</v>
      </c>
      <c r="E5" s="42" t="s">
        <v>47</v>
      </c>
      <c r="F5" s="43" t="s">
        <v>45</v>
      </c>
      <c r="G5" s="44" t="s">
        <v>46</v>
      </c>
      <c r="H5" s="45" t="s">
        <v>47</v>
      </c>
      <c r="I5" s="46" t="s">
        <v>45</v>
      </c>
      <c r="J5" s="41" t="s">
        <v>46</v>
      </c>
      <c r="K5" s="42" t="s">
        <v>47</v>
      </c>
      <c r="L5" s="43" t="s">
        <v>45</v>
      </c>
      <c r="M5" s="44" t="s">
        <v>46</v>
      </c>
      <c r="N5" s="45" t="s">
        <v>47</v>
      </c>
      <c r="O5" s="46" t="s">
        <v>45</v>
      </c>
      <c r="P5" s="41" t="s">
        <v>46</v>
      </c>
      <c r="Q5" s="42" t="s">
        <v>47</v>
      </c>
      <c r="R5" s="43" t="s">
        <v>45</v>
      </c>
      <c r="S5" s="44" t="s">
        <v>46</v>
      </c>
      <c r="T5" s="45" t="s">
        <v>47</v>
      </c>
      <c r="U5" s="46" t="s">
        <v>45</v>
      </c>
      <c r="V5" s="41" t="s">
        <v>46</v>
      </c>
      <c r="W5" s="42" t="s">
        <v>47</v>
      </c>
      <c r="X5" s="40" t="s">
        <v>45</v>
      </c>
      <c r="Y5" s="41" t="s">
        <v>46</v>
      </c>
      <c r="Z5" s="42" t="s">
        <v>47</v>
      </c>
      <c r="AA5" s="43" t="s">
        <v>45</v>
      </c>
      <c r="AB5" s="44" t="s">
        <v>46</v>
      </c>
      <c r="AC5" s="45" t="s">
        <v>47</v>
      </c>
      <c r="AD5" s="46" t="s">
        <v>45</v>
      </c>
      <c r="AE5" s="41" t="s">
        <v>46</v>
      </c>
      <c r="AF5" s="42" t="s">
        <v>47</v>
      </c>
      <c r="AG5" s="43" t="s">
        <v>45</v>
      </c>
      <c r="AH5" s="44" t="s">
        <v>46</v>
      </c>
      <c r="AI5" s="45" t="s">
        <v>47</v>
      </c>
      <c r="AJ5" s="46" t="s">
        <v>45</v>
      </c>
      <c r="AK5" s="41" t="s">
        <v>46</v>
      </c>
      <c r="AL5" s="42" t="s">
        <v>47</v>
      </c>
      <c r="AM5" s="43" t="s">
        <v>45</v>
      </c>
      <c r="AN5" s="44" t="s">
        <v>46</v>
      </c>
      <c r="AO5" s="45" t="s">
        <v>47</v>
      </c>
      <c r="AP5" s="46" t="s">
        <v>45</v>
      </c>
      <c r="AQ5" s="41" t="s">
        <v>46</v>
      </c>
      <c r="AR5" s="42" t="s">
        <v>47</v>
      </c>
    </row>
    <row r="6" spans="2:44" x14ac:dyDescent="0.2">
      <c r="B6" s="47">
        <v>0</v>
      </c>
      <c r="C6" s="48">
        <v>5.12</v>
      </c>
      <c r="D6" s="49">
        <v>5</v>
      </c>
      <c r="E6" s="50">
        <f t="shared" ref="E6:E37" si="0">D6-C6</f>
        <v>-0.12000000000000011</v>
      </c>
      <c r="F6" s="51">
        <v>4.66</v>
      </c>
      <c r="G6" s="52">
        <v>5</v>
      </c>
      <c r="H6" s="53">
        <f t="shared" ref="H6:H37" si="1">G6-F6</f>
        <v>0.33999999999999986</v>
      </c>
      <c r="I6" s="48">
        <v>4.3899999999999997</v>
      </c>
      <c r="J6" s="49">
        <v>5</v>
      </c>
      <c r="K6" s="50">
        <f t="shared" ref="K6:K37" si="2">J6-I6</f>
        <v>0.61000000000000032</v>
      </c>
      <c r="L6" s="51">
        <v>4.75</v>
      </c>
      <c r="M6" s="52">
        <v>5</v>
      </c>
      <c r="N6" s="53">
        <f t="shared" ref="N6:N37" si="3">M6-L6</f>
        <v>0.25</v>
      </c>
      <c r="O6" s="48">
        <v>5</v>
      </c>
      <c r="P6" s="49">
        <v>5</v>
      </c>
      <c r="Q6" s="50">
        <f t="shared" ref="Q6:Q37" si="4">P6-O6</f>
        <v>0</v>
      </c>
      <c r="R6" s="51">
        <v>5.32</v>
      </c>
      <c r="S6" s="52">
        <v>5</v>
      </c>
      <c r="T6" s="53">
        <f t="shared" ref="T6:T37" si="5">S6-R6</f>
        <v>-0.32000000000000028</v>
      </c>
      <c r="U6" s="48">
        <v>5</v>
      </c>
      <c r="V6" s="49">
        <v>5</v>
      </c>
      <c r="W6" s="50">
        <f t="shared" ref="W6:W37" si="6">V6-U6</f>
        <v>0</v>
      </c>
      <c r="X6" s="48">
        <f>C6</f>
        <v>5.12</v>
      </c>
      <c r="Y6" s="49">
        <v>5</v>
      </c>
      <c r="Z6" s="50">
        <f t="shared" ref="Z6:Z54" si="7">Y6-X6</f>
        <v>-0.12000000000000011</v>
      </c>
      <c r="AA6" s="51">
        <f t="shared" ref="AA6:AA53" si="8">F6</f>
        <v>4.66</v>
      </c>
      <c r="AB6" s="52">
        <v>5</v>
      </c>
      <c r="AC6" s="53">
        <f t="shared" ref="AC6:AC54" si="9">AB6-AA6</f>
        <v>0.33999999999999986</v>
      </c>
      <c r="AD6" s="48">
        <f t="shared" ref="AD6:AD53" si="10">I6</f>
        <v>4.3899999999999997</v>
      </c>
      <c r="AE6" s="49">
        <v>5</v>
      </c>
      <c r="AF6" s="50">
        <f t="shared" ref="AF6:AF54" si="11">AE6-AD6</f>
        <v>0.61000000000000032</v>
      </c>
      <c r="AG6" s="51">
        <f t="shared" ref="AG6:AG53" si="12">L6</f>
        <v>4.75</v>
      </c>
      <c r="AH6" s="52">
        <v>5</v>
      </c>
      <c r="AI6" s="53">
        <f t="shared" ref="AI6:AI54" si="13">AH6-AG6</f>
        <v>0.25</v>
      </c>
      <c r="AJ6" s="48">
        <f t="shared" ref="AJ6:AJ53" si="14">O6</f>
        <v>5</v>
      </c>
      <c r="AK6" s="49">
        <v>5</v>
      </c>
      <c r="AL6" s="50">
        <f t="shared" ref="AL6:AL54" si="15">AK6-AJ6</f>
        <v>0</v>
      </c>
      <c r="AM6" s="51">
        <f t="shared" ref="AM6:AM53" si="16">R6</f>
        <v>5.32</v>
      </c>
      <c r="AN6" s="52">
        <v>5</v>
      </c>
      <c r="AO6" s="53">
        <f t="shared" ref="AO6:AO54" si="17">AN6-AM6</f>
        <v>-0.32000000000000028</v>
      </c>
      <c r="AP6" s="48">
        <f t="shared" ref="AP6:AP53" si="18">U6</f>
        <v>5</v>
      </c>
      <c r="AQ6" s="49">
        <v>5</v>
      </c>
      <c r="AR6" s="50">
        <f t="shared" ref="AR6:AR54" si="19">AQ6-AP6</f>
        <v>0</v>
      </c>
    </row>
    <row r="7" spans="2:44" x14ac:dyDescent="0.2">
      <c r="B7" s="54">
        <v>2.0833333333333332E-2</v>
      </c>
      <c r="C7" s="55">
        <v>5.12</v>
      </c>
      <c r="D7" s="56">
        <v>5</v>
      </c>
      <c r="E7" s="57">
        <f t="shared" si="0"/>
        <v>-0.12000000000000011</v>
      </c>
      <c r="F7" s="58">
        <v>4.66</v>
      </c>
      <c r="G7" s="26">
        <v>5</v>
      </c>
      <c r="H7" s="59">
        <f t="shared" si="1"/>
        <v>0.33999999999999986</v>
      </c>
      <c r="I7" s="55">
        <v>4.3899999999999997</v>
      </c>
      <c r="J7" s="56">
        <v>5</v>
      </c>
      <c r="K7" s="57">
        <f t="shared" si="2"/>
        <v>0.61000000000000032</v>
      </c>
      <c r="L7" s="58">
        <v>4.75</v>
      </c>
      <c r="M7" s="26">
        <v>5</v>
      </c>
      <c r="N7" s="59">
        <f t="shared" si="3"/>
        <v>0.25</v>
      </c>
      <c r="O7" s="55">
        <v>5</v>
      </c>
      <c r="P7" s="56">
        <v>5</v>
      </c>
      <c r="Q7" s="57">
        <f t="shared" si="4"/>
        <v>0</v>
      </c>
      <c r="R7" s="58">
        <v>5.32</v>
      </c>
      <c r="S7" s="26">
        <v>5</v>
      </c>
      <c r="T7" s="59">
        <f t="shared" si="5"/>
        <v>-0.32000000000000028</v>
      </c>
      <c r="U7" s="55">
        <v>5</v>
      </c>
      <c r="V7" s="56">
        <v>5</v>
      </c>
      <c r="W7" s="57">
        <f t="shared" si="6"/>
        <v>0</v>
      </c>
      <c r="X7" s="55">
        <f t="shared" ref="X7:X53" si="20">C7</f>
        <v>5.12</v>
      </c>
      <c r="Y7" s="56">
        <v>5</v>
      </c>
      <c r="Z7" s="57">
        <f t="shared" si="7"/>
        <v>-0.12000000000000011</v>
      </c>
      <c r="AA7" s="58">
        <f t="shared" si="8"/>
        <v>4.66</v>
      </c>
      <c r="AB7" s="26">
        <v>5</v>
      </c>
      <c r="AC7" s="59">
        <f t="shared" si="9"/>
        <v>0.33999999999999986</v>
      </c>
      <c r="AD7" s="55">
        <f t="shared" si="10"/>
        <v>4.3899999999999997</v>
      </c>
      <c r="AE7" s="56">
        <v>5</v>
      </c>
      <c r="AF7" s="57">
        <f t="shared" si="11"/>
        <v>0.61000000000000032</v>
      </c>
      <c r="AG7" s="58">
        <f t="shared" si="12"/>
        <v>4.75</v>
      </c>
      <c r="AH7" s="26">
        <v>5</v>
      </c>
      <c r="AI7" s="59">
        <f t="shared" si="13"/>
        <v>0.25</v>
      </c>
      <c r="AJ7" s="55">
        <f t="shared" si="14"/>
        <v>5</v>
      </c>
      <c r="AK7" s="56">
        <v>5</v>
      </c>
      <c r="AL7" s="57">
        <f t="shared" si="15"/>
        <v>0</v>
      </c>
      <c r="AM7" s="58">
        <f t="shared" si="16"/>
        <v>5.32</v>
      </c>
      <c r="AN7" s="26">
        <v>5</v>
      </c>
      <c r="AO7" s="59">
        <f t="shared" si="17"/>
        <v>-0.32000000000000028</v>
      </c>
      <c r="AP7" s="55">
        <f t="shared" si="18"/>
        <v>5</v>
      </c>
      <c r="AQ7" s="56">
        <v>5</v>
      </c>
      <c r="AR7" s="57">
        <f t="shared" si="19"/>
        <v>0</v>
      </c>
    </row>
    <row r="8" spans="2:44" x14ac:dyDescent="0.2">
      <c r="B8" s="54">
        <v>4.1666666666666664E-2</v>
      </c>
      <c r="C8" s="55">
        <v>5.19</v>
      </c>
      <c r="D8" s="56">
        <v>5</v>
      </c>
      <c r="E8" s="57">
        <f t="shared" si="0"/>
        <v>-0.19000000000000039</v>
      </c>
      <c r="F8" s="58">
        <v>4.67</v>
      </c>
      <c r="G8" s="26">
        <v>5</v>
      </c>
      <c r="H8" s="59">
        <f t="shared" si="1"/>
        <v>0.33000000000000007</v>
      </c>
      <c r="I8" s="55">
        <v>4.67</v>
      </c>
      <c r="J8" s="56">
        <v>5</v>
      </c>
      <c r="K8" s="57">
        <f t="shared" si="2"/>
        <v>0.33000000000000007</v>
      </c>
      <c r="L8" s="58">
        <v>4.67</v>
      </c>
      <c r="M8" s="26">
        <v>5</v>
      </c>
      <c r="N8" s="59">
        <f t="shared" si="3"/>
        <v>0.33000000000000007</v>
      </c>
      <c r="O8" s="55">
        <v>5.0599999999999996</v>
      </c>
      <c r="P8" s="56">
        <v>5</v>
      </c>
      <c r="Q8" s="57">
        <f t="shared" si="4"/>
        <v>-5.9999999999999609E-2</v>
      </c>
      <c r="R8" s="58">
        <v>5.33</v>
      </c>
      <c r="S8" s="26">
        <v>5</v>
      </c>
      <c r="T8" s="59">
        <f t="shared" si="5"/>
        <v>-0.33000000000000007</v>
      </c>
      <c r="U8" s="55">
        <v>5.13</v>
      </c>
      <c r="V8" s="56">
        <v>5</v>
      </c>
      <c r="W8" s="57">
        <f t="shared" si="6"/>
        <v>-0.12999999999999989</v>
      </c>
      <c r="X8" s="55">
        <f t="shared" si="20"/>
        <v>5.19</v>
      </c>
      <c r="Y8" s="56">
        <v>5</v>
      </c>
      <c r="Z8" s="57">
        <f t="shared" si="7"/>
        <v>-0.19000000000000039</v>
      </c>
      <c r="AA8" s="58">
        <f t="shared" si="8"/>
        <v>4.67</v>
      </c>
      <c r="AB8" s="26">
        <v>5</v>
      </c>
      <c r="AC8" s="59">
        <f t="shared" si="9"/>
        <v>0.33000000000000007</v>
      </c>
      <c r="AD8" s="55">
        <f t="shared" si="10"/>
        <v>4.67</v>
      </c>
      <c r="AE8" s="56">
        <v>5</v>
      </c>
      <c r="AF8" s="57">
        <f t="shared" si="11"/>
        <v>0.33000000000000007</v>
      </c>
      <c r="AG8" s="58">
        <f t="shared" si="12"/>
        <v>4.67</v>
      </c>
      <c r="AH8" s="26">
        <v>5</v>
      </c>
      <c r="AI8" s="59">
        <f t="shared" si="13"/>
        <v>0.33000000000000007</v>
      </c>
      <c r="AJ8" s="55">
        <f t="shared" si="14"/>
        <v>5.0599999999999996</v>
      </c>
      <c r="AK8" s="56">
        <v>5</v>
      </c>
      <c r="AL8" s="57">
        <f t="shared" si="15"/>
        <v>-5.9999999999999609E-2</v>
      </c>
      <c r="AM8" s="58">
        <f t="shared" si="16"/>
        <v>5.33</v>
      </c>
      <c r="AN8" s="26">
        <v>5</v>
      </c>
      <c r="AO8" s="59">
        <f t="shared" si="17"/>
        <v>-0.33000000000000007</v>
      </c>
      <c r="AP8" s="55">
        <f t="shared" si="18"/>
        <v>5.13</v>
      </c>
      <c r="AQ8" s="56">
        <v>5</v>
      </c>
      <c r="AR8" s="57">
        <f t="shared" si="19"/>
        <v>-0.12999999999999989</v>
      </c>
    </row>
    <row r="9" spans="2:44" x14ac:dyDescent="0.2">
      <c r="B9" s="54">
        <v>6.25E-2</v>
      </c>
      <c r="C9" s="55">
        <v>5.19</v>
      </c>
      <c r="D9" s="56">
        <v>5</v>
      </c>
      <c r="E9" s="57">
        <f t="shared" si="0"/>
        <v>-0.19000000000000039</v>
      </c>
      <c r="F9" s="58">
        <v>4.67</v>
      </c>
      <c r="G9" s="26">
        <v>5</v>
      </c>
      <c r="H9" s="59">
        <f t="shared" si="1"/>
        <v>0.33000000000000007</v>
      </c>
      <c r="I9" s="55">
        <v>4.67</v>
      </c>
      <c r="J9" s="56">
        <v>5</v>
      </c>
      <c r="K9" s="57">
        <f t="shared" si="2"/>
        <v>0.33000000000000007</v>
      </c>
      <c r="L9" s="58">
        <v>4.67</v>
      </c>
      <c r="M9" s="26">
        <v>5</v>
      </c>
      <c r="N9" s="59">
        <f t="shared" si="3"/>
        <v>0.33000000000000007</v>
      </c>
      <c r="O9" s="55">
        <v>5.0599999999999996</v>
      </c>
      <c r="P9" s="56">
        <v>5</v>
      </c>
      <c r="Q9" s="57">
        <f t="shared" si="4"/>
        <v>-5.9999999999999609E-2</v>
      </c>
      <c r="R9" s="58">
        <v>5.33</v>
      </c>
      <c r="S9" s="26">
        <v>5</v>
      </c>
      <c r="T9" s="59">
        <f t="shared" si="5"/>
        <v>-0.33000000000000007</v>
      </c>
      <c r="U9" s="55">
        <v>5.13</v>
      </c>
      <c r="V9" s="56">
        <v>5</v>
      </c>
      <c r="W9" s="57">
        <f t="shared" si="6"/>
        <v>-0.12999999999999989</v>
      </c>
      <c r="X9" s="55">
        <f t="shared" si="20"/>
        <v>5.19</v>
      </c>
      <c r="Y9" s="56">
        <v>5</v>
      </c>
      <c r="Z9" s="57">
        <f t="shared" si="7"/>
        <v>-0.19000000000000039</v>
      </c>
      <c r="AA9" s="58">
        <f t="shared" si="8"/>
        <v>4.67</v>
      </c>
      <c r="AB9" s="26">
        <v>5</v>
      </c>
      <c r="AC9" s="59">
        <f t="shared" si="9"/>
        <v>0.33000000000000007</v>
      </c>
      <c r="AD9" s="55">
        <f t="shared" si="10"/>
        <v>4.67</v>
      </c>
      <c r="AE9" s="56">
        <v>5</v>
      </c>
      <c r="AF9" s="57">
        <f t="shared" si="11"/>
        <v>0.33000000000000007</v>
      </c>
      <c r="AG9" s="58">
        <f t="shared" si="12"/>
        <v>4.67</v>
      </c>
      <c r="AH9" s="26">
        <v>5</v>
      </c>
      <c r="AI9" s="59">
        <f t="shared" si="13"/>
        <v>0.33000000000000007</v>
      </c>
      <c r="AJ9" s="55">
        <f t="shared" si="14"/>
        <v>5.0599999999999996</v>
      </c>
      <c r="AK9" s="56">
        <v>5</v>
      </c>
      <c r="AL9" s="57">
        <f t="shared" si="15"/>
        <v>-5.9999999999999609E-2</v>
      </c>
      <c r="AM9" s="58">
        <f t="shared" si="16"/>
        <v>5.33</v>
      </c>
      <c r="AN9" s="26">
        <v>5</v>
      </c>
      <c r="AO9" s="59">
        <f t="shared" si="17"/>
        <v>-0.33000000000000007</v>
      </c>
      <c r="AP9" s="55">
        <f t="shared" si="18"/>
        <v>5.13</v>
      </c>
      <c r="AQ9" s="56">
        <v>5</v>
      </c>
      <c r="AR9" s="57">
        <f t="shared" si="19"/>
        <v>-0.12999999999999989</v>
      </c>
    </row>
    <row r="10" spans="2:44" x14ac:dyDescent="0.2">
      <c r="B10" s="54">
        <v>8.3333333333333301E-2</v>
      </c>
      <c r="C10" s="55">
        <v>5.33</v>
      </c>
      <c r="D10" s="56">
        <v>5</v>
      </c>
      <c r="E10" s="57">
        <f t="shared" si="0"/>
        <v>-0.33000000000000007</v>
      </c>
      <c r="F10" s="58">
        <v>4.67</v>
      </c>
      <c r="G10" s="26">
        <v>5</v>
      </c>
      <c r="H10" s="59">
        <f t="shared" si="1"/>
        <v>0.33000000000000007</v>
      </c>
      <c r="I10" s="55">
        <v>4.67</v>
      </c>
      <c r="J10" s="56">
        <v>5</v>
      </c>
      <c r="K10" s="57">
        <f t="shared" si="2"/>
        <v>0.33000000000000007</v>
      </c>
      <c r="L10" s="58">
        <v>4.96</v>
      </c>
      <c r="M10" s="26">
        <v>5</v>
      </c>
      <c r="N10" s="59">
        <f t="shared" si="3"/>
        <v>4.0000000000000036E-2</v>
      </c>
      <c r="O10" s="55">
        <v>5.12</v>
      </c>
      <c r="P10" s="56">
        <v>5</v>
      </c>
      <c r="Q10" s="57">
        <f t="shared" si="4"/>
        <v>-0.12000000000000011</v>
      </c>
      <c r="R10" s="58">
        <v>5.35</v>
      </c>
      <c r="S10" s="26">
        <v>5</v>
      </c>
      <c r="T10" s="59">
        <f t="shared" si="5"/>
        <v>-0.34999999999999964</v>
      </c>
      <c r="U10" s="55">
        <v>5.33</v>
      </c>
      <c r="V10" s="56">
        <v>5</v>
      </c>
      <c r="W10" s="57">
        <f t="shared" si="6"/>
        <v>-0.33000000000000007</v>
      </c>
      <c r="X10" s="55">
        <f t="shared" si="20"/>
        <v>5.33</v>
      </c>
      <c r="Y10" s="56">
        <v>5</v>
      </c>
      <c r="Z10" s="57">
        <f t="shared" si="7"/>
        <v>-0.33000000000000007</v>
      </c>
      <c r="AA10" s="58">
        <f t="shared" si="8"/>
        <v>4.67</v>
      </c>
      <c r="AB10" s="26">
        <v>5</v>
      </c>
      <c r="AC10" s="59">
        <f t="shared" si="9"/>
        <v>0.33000000000000007</v>
      </c>
      <c r="AD10" s="55">
        <f t="shared" si="10"/>
        <v>4.67</v>
      </c>
      <c r="AE10" s="56">
        <v>5</v>
      </c>
      <c r="AF10" s="57">
        <f t="shared" si="11"/>
        <v>0.33000000000000007</v>
      </c>
      <c r="AG10" s="58">
        <f t="shared" si="12"/>
        <v>4.96</v>
      </c>
      <c r="AH10" s="26">
        <v>5</v>
      </c>
      <c r="AI10" s="59">
        <f t="shared" si="13"/>
        <v>4.0000000000000036E-2</v>
      </c>
      <c r="AJ10" s="55">
        <f t="shared" si="14"/>
        <v>5.12</v>
      </c>
      <c r="AK10" s="56">
        <v>5</v>
      </c>
      <c r="AL10" s="57">
        <f t="shared" si="15"/>
        <v>-0.12000000000000011</v>
      </c>
      <c r="AM10" s="58">
        <f t="shared" si="16"/>
        <v>5.35</v>
      </c>
      <c r="AN10" s="26">
        <v>5</v>
      </c>
      <c r="AO10" s="59">
        <f t="shared" si="17"/>
        <v>-0.34999999999999964</v>
      </c>
      <c r="AP10" s="55">
        <f t="shared" si="18"/>
        <v>5.33</v>
      </c>
      <c r="AQ10" s="56">
        <v>5</v>
      </c>
      <c r="AR10" s="57">
        <f t="shared" si="19"/>
        <v>-0.33000000000000007</v>
      </c>
    </row>
    <row r="11" spans="2:44" x14ac:dyDescent="0.2">
      <c r="B11" s="54">
        <v>0.104166666666667</v>
      </c>
      <c r="C11" s="55">
        <v>5.33</v>
      </c>
      <c r="D11" s="56">
        <v>5</v>
      </c>
      <c r="E11" s="57">
        <f t="shared" si="0"/>
        <v>-0.33000000000000007</v>
      </c>
      <c r="F11" s="58">
        <v>4.67</v>
      </c>
      <c r="G11" s="26">
        <v>5</v>
      </c>
      <c r="H11" s="59">
        <f t="shared" si="1"/>
        <v>0.33000000000000007</v>
      </c>
      <c r="I11" s="55">
        <v>4.67</v>
      </c>
      <c r="J11" s="56">
        <v>5</v>
      </c>
      <c r="K11" s="57">
        <f t="shared" si="2"/>
        <v>0.33000000000000007</v>
      </c>
      <c r="L11" s="58">
        <v>4.96</v>
      </c>
      <c r="M11" s="26">
        <v>5</v>
      </c>
      <c r="N11" s="59">
        <f t="shared" si="3"/>
        <v>4.0000000000000036E-2</v>
      </c>
      <c r="O11" s="55">
        <v>5.12</v>
      </c>
      <c r="P11" s="56">
        <v>5</v>
      </c>
      <c r="Q11" s="57">
        <f t="shared" si="4"/>
        <v>-0.12000000000000011</v>
      </c>
      <c r="R11" s="58">
        <v>5.35</v>
      </c>
      <c r="S11" s="26">
        <v>5</v>
      </c>
      <c r="T11" s="59">
        <f t="shared" si="5"/>
        <v>-0.34999999999999964</v>
      </c>
      <c r="U11" s="55">
        <v>5.33</v>
      </c>
      <c r="V11" s="56">
        <v>5</v>
      </c>
      <c r="W11" s="57">
        <f t="shared" si="6"/>
        <v>-0.33000000000000007</v>
      </c>
      <c r="X11" s="55">
        <f t="shared" si="20"/>
        <v>5.33</v>
      </c>
      <c r="Y11" s="56">
        <v>5</v>
      </c>
      <c r="Z11" s="57">
        <f t="shared" si="7"/>
        <v>-0.33000000000000007</v>
      </c>
      <c r="AA11" s="58">
        <f t="shared" si="8"/>
        <v>4.67</v>
      </c>
      <c r="AB11" s="26">
        <v>5</v>
      </c>
      <c r="AC11" s="59">
        <f t="shared" si="9"/>
        <v>0.33000000000000007</v>
      </c>
      <c r="AD11" s="55">
        <f t="shared" si="10"/>
        <v>4.67</v>
      </c>
      <c r="AE11" s="56">
        <v>5</v>
      </c>
      <c r="AF11" s="57">
        <f t="shared" si="11"/>
        <v>0.33000000000000007</v>
      </c>
      <c r="AG11" s="58">
        <f t="shared" si="12"/>
        <v>4.96</v>
      </c>
      <c r="AH11" s="26">
        <v>5</v>
      </c>
      <c r="AI11" s="59">
        <f t="shared" si="13"/>
        <v>4.0000000000000036E-2</v>
      </c>
      <c r="AJ11" s="55">
        <f t="shared" si="14"/>
        <v>5.12</v>
      </c>
      <c r="AK11" s="56">
        <v>5</v>
      </c>
      <c r="AL11" s="57">
        <f t="shared" si="15"/>
        <v>-0.12000000000000011</v>
      </c>
      <c r="AM11" s="58">
        <f t="shared" si="16"/>
        <v>5.35</v>
      </c>
      <c r="AN11" s="26">
        <v>5</v>
      </c>
      <c r="AO11" s="59">
        <f t="shared" si="17"/>
        <v>-0.34999999999999964</v>
      </c>
      <c r="AP11" s="55">
        <f t="shared" si="18"/>
        <v>5.33</v>
      </c>
      <c r="AQ11" s="56">
        <v>5</v>
      </c>
      <c r="AR11" s="57">
        <f t="shared" si="19"/>
        <v>-0.33000000000000007</v>
      </c>
    </row>
    <row r="12" spans="2:44" x14ac:dyDescent="0.2">
      <c r="B12" s="54">
        <v>0.125</v>
      </c>
      <c r="C12" s="55">
        <v>5.33</v>
      </c>
      <c r="D12" s="56">
        <v>5</v>
      </c>
      <c r="E12" s="57">
        <f t="shared" si="0"/>
        <v>-0.33000000000000007</v>
      </c>
      <c r="F12" s="58">
        <v>4.67</v>
      </c>
      <c r="G12" s="26">
        <v>4</v>
      </c>
      <c r="H12" s="59">
        <f t="shared" si="1"/>
        <v>-0.66999999999999993</v>
      </c>
      <c r="I12" s="55">
        <v>4.67</v>
      </c>
      <c r="J12" s="56">
        <v>4</v>
      </c>
      <c r="K12" s="57">
        <f t="shared" si="2"/>
        <v>-0.66999999999999993</v>
      </c>
      <c r="L12" s="58">
        <v>5</v>
      </c>
      <c r="M12" s="26">
        <v>4</v>
      </c>
      <c r="N12" s="59">
        <f t="shared" si="3"/>
        <v>-1</v>
      </c>
      <c r="O12" s="55">
        <v>5.2</v>
      </c>
      <c r="P12" s="56">
        <v>5</v>
      </c>
      <c r="Q12" s="57">
        <f t="shared" si="4"/>
        <v>-0.20000000000000018</v>
      </c>
      <c r="R12" s="58">
        <v>5.58</v>
      </c>
      <c r="S12" s="26">
        <v>4</v>
      </c>
      <c r="T12" s="59">
        <f t="shared" si="5"/>
        <v>-1.58</v>
      </c>
      <c r="U12" s="55">
        <v>5.36</v>
      </c>
      <c r="V12" s="56">
        <v>5</v>
      </c>
      <c r="W12" s="57">
        <f t="shared" si="6"/>
        <v>-0.36000000000000032</v>
      </c>
      <c r="X12" s="55">
        <f t="shared" si="20"/>
        <v>5.33</v>
      </c>
      <c r="Y12" s="56">
        <v>4</v>
      </c>
      <c r="Z12" s="57">
        <f t="shared" si="7"/>
        <v>-1.33</v>
      </c>
      <c r="AA12" s="58">
        <f t="shared" si="8"/>
        <v>4.67</v>
      </c>
      <c r="AB12" s="26">
        <v>5</v>
      </c>
      <c r="AC12" s="59">
        <f t="shared" si="9"/>
        <v>0.33000000000000007</v>
      </c>
      <c r="AD12" s="55">
        <f t="shared" si="10"/>
        <v>4.67</v>
      </c>
      <c r="AE12" s="56">
        <v>4</v>
      </c>
      <c r="AF12" s="57">
        <f t="shared" si="11"/>
        <v>-0.66999999999999993</v>
      </c>
      <c r="AG12" s="58">
        <f t="shared" si="12"/>
        <v>5</v>
      </c>
      <c r="AH12" s="26">
        <v>5</v>
      </c>
      <c r="AI12" s="59">
        <f t="shared" si="13"/>
        <v>0</v>
      </c>
      <c r="AJ12" s="55">
        <f t="shared" si="14"/>
        <v>5.2</v>
      </c>
      <c r="AK12" s="56">
        <v>4</v>
      </c>
      <c r="AL12" s="57">
        <f t="shared" si="15"/>
        <v>-1.2000000000000002</v>
      </c>
      <c r="AM12" s="58">
        <f t="shared" si="16"/>
        <v>5.58</v>
      </c>
      <c r="AN12" s="26">
        <v>5</v>
      </c>
      <c r="AO12" s="59">
        <f t="shared" si="17"/>
        <v>-0.58000000000000007</v>
      </c>
      <c r="AP12" s="55">
        <f t="shared" si="18"/>
        <v>5.36</v>
      </c>
      <c r="AQ12" s="56">
        <v>5</v>
      </c>
      <c r="AR12" s="57">
        <f t="shared" si="19"/>
        <v>-0.36000000000000032</v>
      </c>
    </row>
    <row r="13" spans="2:44" x14ac:dyDescent="0.2">
      <c r="B13" s="54">
        <v>0.14583333333333301</v>
      </c>
      <c r="C13" s="55">
        <v>5.33</v>
      </c>
      <c r="D13" s="56">
        <v>5</v>
      </c>
      <c r="E13" s="57">
        <f t="shared" si="0"/>
        <v>-0.33000000000000007</v>
      </c>
      <c r="F13" s="58">
        <v>4.67</v>
      </c>
      <c r="G13" s="26">
        <v>4</v>
      </c>
      <c r="H13" s="59">
        <f t="shared" si="1"/>
        <v>-0.66999999999999993</v>
      </c>
      <c r="I13" s="55">
        <v>4.67</v>
      </c>
      <c r="J13" s="56">
        <v>4</v>
      </c>
      <c r="K13" s="57">
        <f t="shared" si="2"/>
        <v>-0.66999999999999993</v>
      </c>
      <c r="L13" s="58">
        <v>5</v>
      </c>
      <c r="M13" s="26">
        <v>4</v>
      </c>
      <c r="N13" s="59">
        <f t="shared" si="3"/>
        <v>-1</v>
      </c>
      <c r="O13" s="55">
        <v>5.2</v>
      </c>
      <c r="P13" s="56">
        <v>5</v>
      </c>
      <c r="Q13" s="57">
        <f t="shared" si="4"/>
        <v>-0.20000000000000018</v>
      </c>
      <c r="R13" s="58">
        <v>5.58</v>
      </c>
      <c r="S13" s="26">
        <v>4</v>
      </c>
      <c r="T13" s="59">
        <f t="shared" si="5"/>
        <v>-1.58</v>
      </c>
      <c r="U13" s="55">
        <v>5.36</v>
      </c>
      <c r="V13" s="56">
        <v>5</v>
      </c>
      <c r="W13" s="57">
        <f t="shared" si="6"/>
        <v>-0.36000000000000032</v>
      </c>
      <c r="X13" s="55">
        <f t="shared" si="20"/>
        <v>5.33</v>
      </c>
      <c r="Y13" s="56">
        <v>4</v>
      </c>
      <c r="Z13" s="57">
        <f t="shared" si="7"/>
        <v>-1.33</v>
      </c>
      <c r="AA13" s="58">
        <f t="shared" si="8"/>
        <v>4.67</v>
      </c>
      <c r="AB13" s="26">
        <v>5</v>
      </c>
      <c r="AC13" s="59">
        <f t="shared" si="9"/>
        <v>0.33000000000000007</v>
      </c>
      <c r="AD13" s="55">
        <f t="shared" si="10"/>
        <v>4.67</v>
      </c>
      <c r="AE13" s="56">
        <v>4</v>
      </c>
      <c r="AF13" s="57">
        <f t="shared" si="11"/>
        <v>-0.66999999999999993</v>
      </c>
      <c r="AG13" s="58">
        <f t="shared" si="12"/>
        <v>5</v>
      </c>
      <c r="AH13" s="26">
        <v>5</v>
      </c>
      <c r="AI13" s="59">
        <f t="shared" si="13"/>
        <v>0</v>
      </c>
      <c r="AJ13" s="55">
        <f t="shared" si="14"/>
        <v>5.2</v>
      </c>
      <c r="AK13" s="56">
        <v>4</v>
      </c>
      <c r="AL13" s="57">
        <f t="shared" si="15"/>
        <v>-1.2000000000000002</v>
      </c>
      <c r="AM13" s="58">
        <f t="shared" si="16"/>
        <v>5.58</v>
      </c>
      <c r="AN13" s="26">
        <v>5</v>
      </c>
      <c r="AO13" s="59">
        <f t="shared" si="17"/>
        <v>-0.58000000000000007</v>
      </c>
      <c r="AP13" s="55">
        <f t="shared" si="18"/>
        <v>5.36</v>
      </c>
      <c r="AQ13" s="56">
        <v>5</v>
      </c>
      <c r="AR13" s="57">
        <f t="shared" si="19"/>
        <v>-0.36000000000000032</v>
      </c>
    </row>
    <row r="14" spans="2:44" x14ac:dyDescent="0.2">
      <c r="B14" s="54">
        <v>0.16666666666666599</v>
      </c>
      <c r="C14" s="55">
        <v>5.33</v>
      </c>
      <c r="D14" s="56">
        <v>5</v>
      </c>
      <c r="E14" s="57">
        <f t="shared" si="0"/>
        <v>-0.33000000000000007</v>
      </c>
      <c r="F14" s="58">
        <v>4.67</v>
      </c>
      <c r="G14" s="26">
        <v>4</v>
      </c>
      <c r="H14" s="59">
        <f t="shared" si="1"/>
        <v>-0.66999999999999993</v>
      </c>
      <c r="I14" s="55">
        <v>4.8499999999999996</v>
      </c>
      <c r="J14" s="56">
        <v>4</v>
      </c>
      <c r="K14" s="57">
        <f t="shared" si="2"/>
        <v>-0.84999999999999964</v>
      </c>
      <c r="L14" s="58">
        <v>5</v>
      </c>
      <c r="M14" s="26">
        <v>4</v>
      </c>
      <c r="N14" s="59">
        <f t="shared" si="3"/>
        <v>-1</v>
      </c>
      <c r="O14" s="55">
        <v>5.33</v>
      </c>
      <c r="P14" s="56">
        <v>5</v>
      </c>
      <c r="Q14" s="57">
        <f t="shared" si="4"/>
        <v>-0.33000000000000007</v>
      </c>
      <c r="R14" s="58">
        <v>5.67</v>
      </c>
      <c r="S14" s="26">
        <v>4</v>
      </c>
      <c r="T14" s="59">
        <f t="shared" si="5"/>
        <v>-1.67</v>
      </c>
      <c r="U14" s="55">
        <v>5.4</v>
      </c>
      <c r="V14" s="56">
        <v>5</v>
      </c>
      <c r="W14" s="57">
        <f t="shared" si="6"/>
        <v>-0.40000000000000036</v>
      </c>
      <c r="X14" s="55">
        <f t="shared" si="20"/>
        <v>5.33</v>
      </c>
      <c r="Y14" s="56">
        <v>4</v>
      </c>
      <c r="Z14" s="57">
        <f t="shared" si="7"/>
        <v>-1.33</v>
      </c>
      <c r="AA14" s="58">
        <f t="shared" si="8"/>
        <v>4.67</v>
      </c>
      <c r="AB14" s="26">
        <v>5</v>
      </c>
      <c r="AC14" s="59">
        <f t="shared" si="9"/>
        <v>0.33000000000000007</v>
      </c>
      <c r="AD14" s="55">
        <f t="shared" si="10"/>
        <v>4.8499999999999996</v>
      </c>
      <c r="AE14" s="56">
        <v>4</v>
      </c>
      <c r="AF14" s="57">
        <f t="shared" si="11"/>
        <v>-0.84999999999999964</v>
      </c>
      <c r="AG14" s="58">
        <f t="shared" si="12"/>
        <v>5</v>
      </c>
      <c r="AH14" s="26">
        <v>5</v>
      </c>
      <c r="AI14" s="59">
        <f t="shared" si="13"/>
        <v>0</v>
      </c>
      <c r="AJ14" s="55">
        <f t="shared" si="14"/>
        <v>5.33</v>
      </c>
      <c r="AK14" s="56">
        <v>4</v>
      </c>
      <c r="AL14" s="57">
        <f t="shared" si="15"/>
        <v>-1.33</v>
      </c>
      <c r="AM14" s="58">
        <f t="shared" si="16"/>
        <v>5.67</v>
      </c>
      <c r="AN14" s="26">
        <v>5</v>
      </c>
      <c r="AO14" s="59">
        <f t="shared" si="17"/>
        <v>-0.66999999999999993</v>
      </c>
      <c r="AP14" s="55">
        <f t="shared" si="18"/>
        <v>5.4</v>
      </c>
      <c r="AQ14" s="56">
        <v>5</v>
      </c>
      <c r="AR14" s="57">
        <f t="shared" si="19"/>
        <v>-0.40000000000000036</v>
      </c>
    </row>
    <row r="15" spans="2:44" x14ac:dyDescent="0.2">
      <c r="B15" s="54">
        <v>0.1875</v>
      </c>
      <c r="C15" s="55">
        <v>5.33</v>
      </c>
      <c r="D15" s="56">
        <v>5</v>
      </c>
      <c r="E15" s="57">
        <f t="shared" si="0"/>
        <v>-0.33000000000000007</v>
      </c>
      <c r="F15" s="58">
        <v>4.67</v>
      </c>
      <c r="G15" s="26">
        <v>4</v>
      </c>
      <c r="H15" s="59">
        <f t="shared" si="1"/>
        <v>-0.66999999999999993</v>
      </c>
      <c r="I15" s="55">
        <v>4.8499999999999996</v>
      </c>
      <c r="J15" s="56">
        <v>4</v>
      </c>
      <c r="K15" s="57">
        <f t="shared" si="2"/>
        <v>-0.84999999999999964</v>
      </c>
      <c r="L15" s="58">
        <v>5</v>
      </c>
      <c r="M15" s="26">
        <v>4</v>
      </c>
      <c r="N15" s="59">
        <f t="shared" si="3"/>
        <v>-1</v>
      </c>
      <c r="O15" s="55">
        <v>5.33</v>
      </c>
      <c r="P15" s="56">
        <v>5</v>
      </c>
      <c r="Q15" s="57">
        <f t="shared" si="4"/>
        <v>-0.33000000000000007</v>
      </c>
      <c r="R15" s="58">
        <v>5.67</v>
      </c>
      <c r="S15" s="26">
        <v>4</v>
      </c>
      <c r="T15" s="59">
        <f t="shared" si="5"/>
        <v>-1.67</v>
      </c>
      <c r="U15" s="55">
        <v>5.4</v>
      </c>
      <c r="V15" s="56">
        <v>5</v>
      </c>
      <c r="W15" s="57">
        <f t="shared" si="6"/>
        <v>-0.40000000000000036</v>
      </c>
      <c r="X15" s="55">
        <f t="shared" si="20"/>
        <v>5.33</v>
      </c>
      <c r="Y15" s="56">
        <v>4</v>
      </c>
      <c r="Z15" s="57">
        <f t="shared" si="7"/>
        <v>-1.33</v>
      </c>
      <c r="AA15" s="58">
        <f t="shared" si="8"/>
        <v>4.67</v>
      </c>
      <c r="AB15" s="26">
        <v>5</v>
      </c>
      <c r="AC15" s="59">
        <f t="shared" si="9"/>
        <v>0.33000000000000007</v>
      </c>
      <c r="AD15" s="55">
        <f t="shared" si="10"/>
        <v>4.8499999999999996</v>
      </c>
      <c r="AE15" s="56">
        <v>4</v>
      </c>
      <c r="AF15" s="57">
        <f t="shared" si="11"/>
        <v>-0.84999999999999964</v>
      </c>
      <c r="AG15" s="58">
        <f t="shared" si="12"/>
        <v>5</v>
      </c>
      <c r="AH15" s="26">
        <v>5</v>
      </c>
      <c r="AI15" s="59">
        <f t="shared" si="13"/>
        <v>0</v>
      </c>
      <c r="AJ15" s="55">
        <f t="shared" si="14"/>
        <v>5.33</v>
      </c>
      <c r="AK15" s="56">
        <v>4</v>
      </c>
      <c r="AL15" s="57">
        <f t="shared" si="15"/>
        <v>-1.33</v>
      </c>
      <c r="AM15" s="58">
        <f t="shared" si="16"/>
        <v>5.67</v>
      </c>
      <c r="AN15" s="26">
        <v>5</v>
      </c>
      <c r="AO15" s="59">
        <f t="shared" si="17"/>
        <v>-0.66999999999999993</v>
      </c>
      <c r="AP15" s="55">
        <f t="shared" si="18"/>
        <v>5.4</v>
      </c>
      <c r="AQ15" s="56">
        <v>5</v>
      </c>
      <c r="AR15" s="57">
        <f t="shared" si="19"/>
        <v>-0.40000000000000036</v>
      </c>
    </row>
    <row r="16" spans="2:44" x14ac:dyDescent="0.2">
      <c r="B16" s="54">
        <v>0.20833333333333301</v>
      </c>
      <c r="C16" s="55">
        <v>5.33</v>
      </c>
      <c r="D16" s="56">
        <v>5</v>
      </c>
      <c r="E16" s="57">
        <f t="shared" si="0"/>
        <v>-0.33000000000000007</v>
      </c>
      <c r="F16" s="58">
        <v>4.7</v>
      </c>
      <c r="G16" s="26">
        <v>5</v>
      </c>
      <c r="H16" s="59">
        <f t="shared" si="1"/>
        <v>0.29999999999999982</v>
      </c>
      <c r="I16" s="55">
        <v>5</v>
      </c>
      <c r="J16" s="56">
        <v>5</v>
      </c>
      <c r="K16" s="57">
        <f t="shared" si="2"/>
        <v>0</v>
      </c>
      <c r="L16" s="58">
        <v>5</v>
      </c>
      <c r="M16" s="26">
        <v>5</v>
      </c>
      <c r="N16" s="59">
        <f t="shared" si="3"/>
        <v>0</v>
      </c>
      <c r="O16" s="55">
        <v>5.33</v>
      </c>
      <c r="P16" s="56">
        <v>5</v>
      </c>
      <c r="Q16" s="57">
        <f t="shared" si="4"/>
        <v>-0.33000000000000007</v>
      </c>
      <c r="R16" s="58">
        <v>5.67</v>
      </c>
      <c r="S16" s="26">
        <v>5</v>
      </c>
      <c r="T16" s="59">
        <f t="shared" si="5"/>
        <v>-0.66999999999999993</v>
      </c>
      <c r="U16" s="55">
        <v>5.4</v>
      </c>
      <c r="V16" s="56">
        <v>6</v>
      </c>
      <c r="W16" s="57">
        <f t="shared" si="6"/>
        <v>0.59999999999999964</v>
      </c>
      <c r="X16" s="55">
        <f t="shared" si="20"/>
        <v>5.33</v>
      </c>
      <c r="Y16" s="56">
        <v>5</v>
      </c>
      <c r="Z16" s="57">
        <f t="shared" si="7"/>
        <v>-0.33000000000000007</v>
      </c>
      <c r="AA16" s="58">
        <f t="shared" si="8"/>
        <v>4.7</v>
      </c>
      <c r="AB16" s="26">
        <v>5</v>
      </c>
      <c r="AC16" s="59">
        <f t="shared" si="9"/>
        <v>0.29999999999999982</v>
      </c>
      <c r="AD16" s="55">
        <f t="shared" si="10"/>
        <v>5</v>
      </c>
      <c r="AE16" s="56">
        <v>5</v>
      </c>
      <c r="AF16" s="57">
        <f t="shared" si="11"/>
        <v>0</v>
      </c>
      <c r="AG16" s="58">
        <f t="shared" si="12"/>
        <v>5</v>
      </c>
      <c r="AH16" s="26">
        <v>5</v>
      </c>
      <c r="AI16" s="59">
        <f t="shared" si="13"/>
        <v>0</v>
      </c>
      <c r="AJ16" s="55">
        <f t="shared" si="14"/>
        <v>5.33</v>
      </c>
      <c r="AK16" s="56">
        <v>5</v>
      </c>
      <c r="AL16" s="57">
        <f t="shared" si="15"/>
        <v>-0.33000000000000007</v>
      </c>
      <c r="AM16" s="58">
        <f t="shared" si="16"/>
        <v>5.67</v>
      </c>
      <c r="AN16" s="26">
        <v>6</v>
      </c>
      <c r="AO16" s="59">
        <f t="shared" si="17"/>
        <v>0.33000000000000007</v>
      </c>
      <c r="AP16" s="55">
        <f t="shared" si="18"/>
        <v>5.4</v>
      </c>
      <c r="AQ16" s="56">
        <v>5</v>
      </c>
      <c r="AR16" s="57">
        <f t="shared" si="19"/>
        <v>-0.40000000000000036</v>
      </c>
    </row>
    <row r="17" spans="2:44" x14ac:dyDescent="0.2">
      <c r="B17" s="54">
        <v>0.22916666666666599</v>
      </c>
      <c r="C17" s="55">
        <v>5.33</v>
      </c>
      <c r="D17" s="56">
        <v>5</v>
      </c>
      <c r="E17" s="57">
        <f t="shared" si="0"/>
        <v>-0.33000000000000007</v>
      </c>
      <c r="F17" s="58">
        <v>4.7</v>
      </c>
      <c r="G17" s="26">
        <v>5</v>
      </c>
      <c r="H17" s="59">
        <f t="shared" si="1"/>
        <v>0.29999999999999982</v>
      </c>
      <c r="I17" s="55">
        <v>5</v>
      </c>
      <c r="J17" s="56">
        <v>5</v>
      </c>
      <c r="K17" s="57">
        <f t="shared" si="2"/>
        <v>0</v>
      </c>
      <c r="L17" s="58">
        <v>5</v>
      </c>
      <c r="M17" s="26">
        <v>5</v>
      </c>
      <c r="N17" s="59">
        <f t="shared" si="3"/>
        <v>0</v>
      </c>
      <c r="O17" s="55">
        <v>5.33</v>
      </c>
      <c r="P17" s="56">
        <v>5</v>
      </c>
      <c r="Q17" s="57">
        <f t="shared" si="4"/>
        <v>-0.33000000000000007</v>
      </c>
      <c r="R17" s="58">
        <v>5.67</v>
      </c>
      <c r="S17" s="26">
        <v>5</v>
      </c>
      <c r="T17" s="59">
        <f t="shared" si="5"/>
        <v>-0.66999999999999993</v>
      </c>
      <c r="U17" s="55">
        <v>5.4</v>
      </c>
      <c r="V17" s="56">
        <v>6</v>
      </c>
      <c r="W17" s="57">
        <f t="shared" si="6"/>
        <v>0.59999999999999964</v>
      </c>
      <c r="X17" s="55">
        <f t="shared" si="20"/>
        <v>5.33</v>
      </c>
      <c r="Y17" s="56">
        <v>5</v>
      </c>
      <c r="Z17" s="57">
        <f t="shared" si="7"/>
        <v>-0.33000000000000007</v>
      </c>
      <c r="AA17" s="58">
        <f t="shared" si="8"/>
        <v>4.7</v>
      </c>
      <c r="AB17" s="26">
        <v>5</v>
      </c>
      <c r="AC17" s="59">
        <f t="shared" si="9"/>
        <v>0.29999999999999982</v>
      </c>
      <c r="AD17" s="55">
        <f t="shared" si="10"/>
        <v>5</v>
      </c>
      <c r="AE17" s="56">
        <v>5</v>
      </c>
      <c r="AF17" s="57">
        <f t="shared" si="11"/>
        <v>0</v>
      </c>
      <c r="AG17" s="58">
        <f t="shared" si="12"/>
        <v>5</v>
      </c>
      <c r="AH17" s="26">
        <v>5</v>
      </c>
      <c r="AI17" s="59">
        <f t="shared" si="13"/>
        <v>0</v>
      </c>
      <c r="AJ17" s="55">
        <f t="shared" si="14"/>
        <v>5.33</v>
      </c>
      <c r="AK17" s="56">
        <v>5</v>
      </c>
      <c r="AL17" s="57">
        <f t="shared" si="15"/>
        <v>-0.33000000000000007</v>
      </c>
      <c r="AM17" s="58">
        <f t="shared" si="16"/>
        <v>5.67</v>
      </c>
      <c r="AN17" s="26">
        <v>6</v>
      </c>
      <c r="AO17" s="59">
        <f t="shared" si="17"/>
        <v>0.33000000000000007</v>
      </c>
      <c r="AP17" s="55">
        <f t="shared" si="18"/>
        <v>5.4</v>
      </c>
      <c r="AQ17" s="56">
        <v>5</v>
      </c>
      <c r="AR17" s="57">
        <f t="shared" si="19"/>
        <v>-0.40000000000000036</v>
      </c>
    </row>
    <row r="18" spans="2:44" x14ac:dyDescent="0.2">
      <c r="B18" s="54">
        <v>0.25</v>
      </c>
      <c r="C18" s="55">
        <v>5.33</v>
      </c>
      <c r="D18" s="56">
        <v>5</v>
      </c>
      <c r="E18" s="57">
        <f t="shared" si="0"/>
        <v>-0.33000000000000007</v>
      </c>
      <c r="F18" s="58">
        <v>4.88</v>
      </c>
      <c r="G18" s="26">
        <v>5</v>
      </c>
      <c r="H18" s="59">
        <f t="shared" si="1"/>
        <v>0.12000000000000011</v>
      </c>
      <c r="I18" s="55">
        <v>5</v>
      </c>
      <c r="J18" s="56">
        <v>5</v>
      </c>
      <c r="K18" s="57">
        <f t="shared" si="2"/>
        <v>0</v>
      </c>
      <c r="L18" s="58">
        <v>5.0999999999999996</v>
      </c>
      <c r="M18" s="26">
        <v>5</v>
      </c>
      <c r="N18" s="59">
        <f t="shared" si="3"/>
        <v>-9.9999999999999645E-2</v>
      </c>
      <c r="O18" s="55">
        <v>5.33</v>
      </c>
      <c r="P18" s="56">
        <v>5</v>
      </c>
      <c r="Q18" s="57">
        <f t="shared" si="4"/>
        <v>-0.33000000000000007</v>
      </c>
      <c r="R18" s="58">
        <v>5.67</v>
      </c>
      <c r="S18" s="26">
        <v>5</v>
      </c>
      <c r="T18" s="59">
        <f t="shared" si="5"/>
        <v>-0.66999999999999993</v>
      </c>
      <c r="U18" s="55">
        <v>5.48</v>
      </c>
      <c r="V18" s="56">
        <v>6</v>
      </c>
      <c r="W18" s="57">
        <f t="shared" si="6"/>
        <v>0.51999999999999957</v>
      </c>
      <c r="X18" s="55">
        <f t="shared" si="20"/>
        <v>5.33</v>
      </c>
      <c r="Y18" s="56">
        <v>5</v>
      </c>
      <c r="Z18" s="57">
        <f t="shared" si="7"/>
        <v>-0.33000000000000007</v>
      </c>
      <c r="AA18" s="58">
        <f t="shared" si="8"/>
        <v>4.88</v>
      </c>
      <c r="AB18" s="26">
        <v>5</v>
      </c>
      <c r="AC18" s="59">
        <f t="shared" si="9"/>
        <v>0.12000000000000011</v>
      </c>
      <c r="AD18" s="55">
        <f t="shared" si="10"/>
        <v>5</v>
      </c>
      <c r="AE18" s="56">
        <v>5</v>
      </c>
      <c r="AF18" s="57">
        <f t="shared" si="11"/>
        <v>0</v>
      </c>
      <c r="AG18" s="58">
        <f t="shared" si="12"/>
        <v>5.0999999999999996</v>
      </c>
      <c r="AH18" s="26">
        <v>5</v>
      </c>
      <c r="AI18" s="59">
        <f t="shared" si="13"/>
        <v>-9.9999999999999645E-2</v>
      </c>
      <c r="AJ18" s="55">
        <f t="shared" si="14"/>
        <v>5.33</v>
      </c>
      <c r="AK18" s="56">
        <v>5</v>
      </c>
      <c r="AL18" s="57">
        <f t="shared" si="15"/>
        <v>-0.33000000000000007</v>
      </c>
      <c r="AM18" s="58">
        <f t="shared" si="16"/>
        <v>5.67</v>
      </c>
      <c r="AN18" s="26">
        <v>6</v>
      </c>
      <c r="AO18" s="59">
        <f t="shared" si="17"/>
        <v>0.33000000000000007</v>
      </c>
      <c r="AP18" s="55">
        <f t="shared" si="18"/>
        <v>5.48</v>
      </c>
      <c r="AQ18" s="56">
        <v>5</v>
      </c>
      <c r="AR18" s="57">
        <f t="shared" si="19"/>
        <v>-0.48000000000000043</v>
      </c>
    </row>
    <row r="19" spans="2:44" x14ac:dyDescent="0.2">
      <c r="B19" s="54">
        <v>0.27083333333333298</v>
      </c>
      <c r="C19" s="55">
        <v>5.33</v>
      </c>
      <c r="D19" s="56">
        <v>5</v>
      </c>
      <c r="E19" s="57">
        <f t="shared" si="0"/>
        <v>-0.33000000000000007</v>
      </c>
      <c r="F19" s="58">
        <v>4.88</v>
      </c>
      <c r="G19" s="26">
        <v>5</v>
      </c>
      <c r="H19" s="59">
        <f t="shared" si="1"/>
        <v>0.12000000000000011</v>
      </c>
      <c r="I19" s="55">
        <v>5</v>
      </c>
      <c r="J19" s="56">
        <v>5</v>
      </c>
      <c r="K19" s="57">
        <f t="shared" si="2"/>
        <v>0</v>
      </c>
      <c r="L19" s="58">
        <v>5.0999999999999996</v>
      </c>
      <c r="M19" s="26">
        <v>5</v>
      </c>
      <c r="N19" s="59">
        <f t="shared" si="3"/>
        <v>-9.9999999999999645E-2</v>
      </c>
      <c r="O19" s="55">
        <v>5.33</v>
      </c>
      <c r="P19" s="56">
        <v>5</v>
      </c>
      <c r="Q19" s="57">
        <f t="shared" si="4"/>
        <v>-0.33000000000000007</v>
      </c>
      <c r="R19" s="58">
        <v>5.67</v>
      </c>
      <c r="S19" s="26">
        <v>5</v>
      </c>
      <c r="T19" s="59">
        <f t="shared" si="5"/>
        <v>-0.66999999999999993</v>
      </c>
      <c r="U19" s="55">
        <v>5.48</v>
      </c>
      <c r="V19" s="56">
        <v>6</v>
      </c>
      <c r="W19" s="57">
        <f t="shared" si="6"/>
        <v>0.51999999999999957</v>
      </c>
      <c r="X19" s="55">
        <f t="shared" si="20"/>
        <v>5.33</v>
      </c>
      <c r="Y19" s="56">
        <v>5</v>
      </c>
      <c r="Z19" s="57">
        <f t="shared" si="7"/>
        <v>-0.33000000000000007</v>
      </c>
      <c r="AA19" s="58">
        <f t="shared" si="8"/>
        <v>4.88</v>
      </c>
      <c r="AB19" s="26">
        <v>5</v>
      </c>
      <c r="AC19" s="59">
        <f t="shared" si="9"/>
        <v>0.12000000000000011</v>
      </c>
      <c r="AD19" s="55">
        <f t="shared" si="10"/>
        <v>5</v>
      </c>
      <c r="AE19" s="56">
        <v>5</v>
      </c>
      <c r="AF19" s="57">
        <f t="shared" si="11"/>
        <v>0</v>
      </c>
      <c r="AG19" s="58">
        <f t="shared" si="12"/>
        <v>5.0999999999999996</v>
      </c>
      <c r="AH19" s="26">
        <v>5</v>
      </c>
      <c r="AI19" s="59">
        <f t="shared" si="13"/>
        <v>-9.9999999999999645E-2</v>
      </c>
      <c r="AJ19" s="55">
        <f t="shared" si="14"/>
        <v>5.33</v>
      </c>
      <c r="AK19" s="56">
        <v>5</v>
      </c>
      <c r="AL19" s="57">
        <f t="shared" si="15"/>
        <v>-0.33000000000000007</v>
      </c>
      <c r="AM19" s="58">
        <f t="shared" si="16"/>
        <v>5.67</v>
      </c>
      <c r="AN19" s="26">
        <v>6</v>
      </c>
      <c r="AO19" s="59">
        <f t="shared" si="17"/>
        <v>0.33000000000000007</v>
      </c>
      <c r="AP19" s="55">
        <f t="shared" si="18"/>
        <v>5.48</v>
      </c>
      <c r="AQ19" s="56">
        <v>5</v>
      </c>
      <c r="AR19" s="57">
        <f t="shared" si="19"/>
        <v>-0.48000000000000043</v>
      </c>
    </row>
    <row r="20" spans="2:44" x14ac:dyDescent="0.2">
      <c r="B20" s="54">
        <v>0.29166666666666602</v>
      </c>
      <c r="C20" s="55">
        <v>5.33</v>
      </c>
      <c r="D20" s="56">
        <v>5</v>
      </c>
      <c r="E20" s="57">
        <f t="shared" si="0"/>
        <v>-0.33000000000000007</v>
      </c>
      <c r="F20" s="58">
        <v>4.9000000000000004</v>
      </c>
      <c r="G20" s="26">
        <v>5</v>
      </c>
      <c r="H20" s="59">
        <f t="shared" si="1"/>
        <v>9.9999999999999645E-2</v>
      </c>
      <c r="I20" s="55">
        <v>5</v>
      </c>
      <c r="J20" s="56">
        <v>5</v>
      </c>
      <c r="K20" s="57">
        <f t="shared" si="2"/>
        <v>0</v>
      </c>
      <c r="L20" s="58">
        <v>5.12</v>
      </c>
      <c r="M20" s="26">
        <v>5</v>
      </c>
      <c r="N20" s="59">
        <f t="shared" si="3"/>
        <v>-0.12000000000000011</v>
      </c>
      <c r="O20" s="55">
        <v>5.33</v>
      </c>
      <c r="P20" s="56">
        <v>5</v>
      </c>
      <c r="Q20" s="57">
        <f t="shared" si="4"/>
        <v>-0.33000000000000007</v>
      </c>
      <c r="R20" s="58">
        <v>5.67</v>
      </c>
      <c r="S20" s="26">
        <v>6</v>
      </c>
      <c r="T20" s="59">
        <f t="shared" si="5"/>
        <v>0.33000000000000007</v>
      </c>
      <c r="U20" s="55">
        <v>5.67</v>
      </c>
      <c r="V20" s="56">
        <v>5</v>
      </c>
      <c r="W20" s="57">
        <f t="shared" si="6"/>
        <v>-0.66999999999999993</v>
      </c>
      <c r="X20" s="55">
        <f t="shared" si="20"/>
        <v>5.33</v>
      </c>
      <c r="Y20" s="56">
        <v>5</v>
      </c>
      <c r="Z20" s="57">
        <f t="shared" si="7"/>
        <v>-0.33000000000000007</v>
      </c>
      <c r="AA20" s="58">
        <f t="shared" si="8"/>
        <v>4.9000000000000004</v>
      </c>
      <c r="AB20" s="26">
        <v>5</v>
      </c>
      <c r="AC20" s="59">
        <f t="shared" si="9"/>
        <v>9.9999999999999645E-2</v>
      </c>
      <c r="AD20" s="55">
        <f t="shared" si="10"/>
        <v>5</v>
      </c>
      <c r="AE20" s="56">
        <v>5</v>
      </c>
      <c r="AF20" s="57">
        <f t="shared" si="11"/>
        <v>0</v>
      </c>
      <c r="AG20" s="58">
        <f t="shared" si="12"/>
        <v>5.12</v>
      </c>
      <c r="AH20" s="26">
        <v>5</v>
      </c>
      <c r="AI20" s="59">
        <f t="shared" si="13"/>
        <v>-0.12000000000000011</v>
      </c>
      <c r="AJ20" s="55">
        <f t="shared" si="14"/>
        <v>5.33</v>
      </c>
      <c r="AK20" s="56">
        <v>5</v>
      </c>
      <c r="AL20" s="57">
        <f t="shared" si="15"/>
        <v>-0.33000000000000007</v>
      </c>
      <c r="AM20" s="58">
        <f t="shared" si="16"/>
        <v>5.67</v>
      </c>
      <c r="AN20" s="26">
        <v>6</v>
      </c>
      <c r="AO20" s="59">
        <f t="shared" si="17"/>
        <v>0.33000000000000007</v>
      </c>
      <c r="AP20" s="55">
        <f t="shared" si="18"/>
        <v>5.67</v>
      </c>
      <c r="AQ20" s="56">
        <v>5</v>
      </c>
      <c r="AR20" s="57">
        <f t="shared" si="19"/>
        <v>-0.66999999999999993</v>
      </c>
    </row>
    <row r="21" spans="2:44" x14ac:dyDescent="0.2">
      <c r="B21" s="54">
        <v>0.3125</v>
      </c>
      <c r="C21" s="55">
        <v>5.33</v>
      </c>
      <c r="D21" s="56">
        <v>5</v>
      </c>
      <c r="E21" s="57">
        <f t="shared" si="0"/>
        <v>-0.33000000000000007</v>
      </c>
      <c r="F21" s="58">
        <v>4.9000000000000004</v>
      </c>
      <c r="G21" s="26">
        <v>5</v>
      </c>
      <c r="H21" s="59">
        <f t="shared" si="1"/>
        <v>9.9999999999999645E-2</v>
      </c>
      <c r="I21" s="55">
        <v>5</v>
      </c>
      <c r="J21" s="56">
        <v>5</v>
      </c>
      <c r="K21" s="57">
        <f t="shared" si="2"/>
        <v>0</v>
      </c>
      <c r="L21" s="58">
        <v>5.12</v>
      </c>
      <c r="M21" s="26">
        <v>5</v>
      </c>
      <c r="N21" s="59">
        <f t="shared" si="3"/>
        <v>-0.12000000000000011</v>
      </c>
      <c r="O21" s="55">
        <v>5.33</v>
      </c>
      <c r="P21" s="56">
        <v>5</v>
      </c>
      <c r="Q21" s="57">
        <f t="shared" si="4"/>
        <v>-0.33000000000000007</v>
      </c>
      <c r="R21" s="58">
        <v>5.67</v>
      </c>
      <c r="S21" s="26">
        <v>6</v>
      </c>
      <c r="T21" s="59">
        <f t="shared" si="5"/>
        <v>0.33000000000000007</v>
      </c>
      <c r="U21" s="55">
        <v>5.67</v>
      </c>
      <c r="V21" s="56">
        <v>5</v>
      </c>
      <c r="W21" s="57">
        <f t="shared" si="6"/>
        <v>-0.66999999999999993</v>
      </c>
      <c r="X21" s="55">
        <f t="shared" si="20"/>
        <v>5.33</v>
      </c>
      <c r="Y21" s="56">
        <v>5</v>
      </c>
      <c r="Z21" s="57">
        <f t="shared" si="7"/>
        <v>-0.33000000000000007</v>
      </c>
      <c r="AA21" s="58">
        <f t="shared" si="8"/>
        <v>4.9000000000000004</v>
      </c>
      <c r="AB21" s="26">
        <v>5</v>
      </c>
      <c r="AC21" s="59">
        <f t="shared" si="9"/>
        <v>9.9999999999999645E-2</v>
      </c>
      <c r="AD21" s="55">
        <f t="shared" si="10"/>
        <v>5</v>
      </c>
      <c r="AE21" s="56">
        <v>5</v>
      </c>
      <c r="AF21" s="57">
        <f t="shared" si="11"/>
        <v>0</v>
      </c>
      <c r="AG21" s="58">
        <f t="shared" si="12"/>
        <v>5.12</v>
      </c>
      <c r="AH21" s="26">
        <v>5</v>
      </c>
      <c r="AI21" s="59">
        <f t="shared" si="13"/>
        <v>-0.12000000000000011</v>
      </c>
      <c r="AJ21" s="55">
        <f t="shared" si="14"/>
        <v>5.33</v>
      </c>
      <c r="AK21" s="56">
        <v>5</v>
      </c>
      <c r="AL21" s="57">
        <f t="shared" si="15"/>
        <v>-0.33000000000000007</v>
      </c>
      <c r="AM21" s="58">
        <f t="shared" si="16"/>
        <v>5.67</v>
      </c>
      <c r="AN21" s="26">
        <v>6</v>
      </c>
      <c r="AO21" s="59">
        <f t="shared" si="17"/>
        <v>0.33000000000000007</v>
      </c>
      <c r="AP21" s="55">
        <f t="shared" si="18"/>
        <v>5.67</v>
      </c>
      <c r="AQ21" s="56">
        <v>5</v>
      </c>
      <c r="AR21" s="57">
        <f t="shared" si="19"/>
        <v>-0.66999999999999993</v>
      </c>
    </row>
    <row r="22" spans="2:44" x14ac:dyDescent="0.2">
      <c r="B22" s="54">
        <v>0.33333333333333298</v>
      </c>
      <c r="C22" s="55">
        <v>5.33</v>
      </c>
      <c r="D22" s="56">
        <v>5</v>
      </c>
      <c r="E22" s="57">
        <f t="shared" si="0"/>
        <v>-0.33000000000000007</v>
      </c>
      <c r="F22" s="58">
        <v>4.99</v>
      </c>
      <c r="G22" s="26">
        <v>5</v>
      </c>
      <c r="H22" s="59">
        <f t="shared" si="1"/>
        <v>9.9999999999997868E-3</v>
      </c>
      <c r="I22" s="55">
        <v>5</v>
      </c>
      <c r="J22" s="56">
        <v>5</v>
      </c>
      <c r="K22" s="57">
        <f t="shared" si="2"/>
        <v>0</v>
      </c>
      <c r="L22" s="58">
        <v>5.18</v>
      </c>
      <c r="M22" s="26">
        <v>5</v>
      </c>
      <c r="N22" s="59">
        <f t="shared" si="3"/>
        <v>-0.17999999999999972</v>
      </c>
      <c r="O22" s="55">
        <v>5.33</v>
      </c>
      <c r="P22" s="56">
        <v>5</v>
      </c>
      <c r="Q22" s="57">
        <f t="shared" si="4"/>
        <v>-0.33000000000000007</v>
      </c>
      <c r="R22" s="58">
        <v>5.67</v>
      </c>
      <c r="S22" s="26">
        <v>6</v>
      </c>
      <c r="T22" s="59">
        <f t="shared" si="5"/>
        <v>0.33000000000000007</v>
      </c>
      <c r="U22" s="55">
        <v>5.67</v>
      </c>
      <c r="V22" s="56">
        <v>5</v>
      </c>
      <c r="W22" s="57">
        <f t="shared" si="6"/>
        <v>-0.66999999999999993</v>
      </c>
      <c r="X22" s="55">
        <f t="shared" si="20"/>
        <v>5.33</v>
      </c>
      <c r="Y22" s="56">
        <v>5</v>
      </c>
      <c r="Z22" s="57">
        <f t="shared" si="7"/>
        <v>-0.33000000000000007</v>
      </c>
      <c r="AA22" s="58">
        <f t="shared" si="8"/>
        <v>4.99</v>
      </c>
      <c r="AB22" s="26">
        <v>5</v>
      </c>
      <c r="AC22" s="59">
        <f t="shared" si="9"/>
        <v>9.9999999999997868E-3</v>
      </c>
      <c r="AD22" s="55">
        <f t="shared" si="10"/>
        <v>5</v>
      </c>
      <c r="AE22" s="56">
        <v>5</v>
      </c>
      <c r="AF22" s="57">
        <f t="shared" si="11"/>
        <v>0</v>
      </c>
      <c r="AG22" s="58">
        <f t="shared" si="12"/>
        <v>5.18</v>
      </c>
      <c r="AH22" s="26">
        <v>5</v>
      </c>
      <c r="AI22" s="59">
        <f t="shared" si="13"/>
        <v>-0.17999999999999972</v>
      </c>
      <c r="AJ22" s="55">
        <f t="shared" si="14"/>
        <v>5.33</v>
      </c>
      <c r="AK22" s="56">
        <v>5</v>
      </c>
      <c r="AL22" s="57">
        <f t="shared" si="15"/>
        <v>-0.33000000000000007</v>
      </c>
      <c r="AM22" s="58">
        <f t="shared" si="16"/>
        <v>5.67</v>
      </c>
      <c r="AN22" s="26">
        <v>6</v>
      </c>
      <c r="AO22" s="59">
        <f t="shared" si="17"/>
        <v>0.33000000000000007</v>
      </c>
      <c r="AP22" s="55">
        <f t="shared" si="18"/>
        <v>5.67</v>
      </c>
      <c r="AQ22" s="56">
        <v>5</v>
      </c>
      <c r="AR22" s="57">
        <f t="shared" si="19"/>
        <v>-0.66999999999999993</v>
      </c>
    </row>
    <row r="23" spans="2:44" x14ac:dyDescent="0.2">
      <c r="B23" s="54">
        <v>0.35416666666666602</v>
      </c>
      <c r="C23" s="55">
        <v>5.33</v>
      </c>
      <c r="D23" s="56">
        <v>5</v>
      </c>
      <c r="E23" s="57">
        <f t="shared" si="0"/>
        <v>-0.33000000000000007</v>
      </c>
      <c r="F23" s="58">
        <v>4.99</v>
      </c>
      <c r="G23" s="26">
        <v>5</v>
      </c>
      <c r="H23" s="59">
        <f t="shared" si="1"/>
        <v>9.9999999999997868E-3</v>
      </c>
      <c r="I23" s="55">
        <v>5</v>
      </c>
      <c r="J23" s="56">
        <v>5</v>
      </c>
      <c r="K23" s="57">
        <f t="shared" si="2"/>
        <v>0</v>
      </c>
      <c r="L23" s="58">
        <v>5.18</v>
      </c>
      <c r="M23" s="26">
        <v>5</v>
      </c>
      <c r="N23" s="59">
        <f t="shared" si="3"/>
        <v>-0.17999999999999972</v>
      </c>
      <c r="O23" s="55">
        <v>5.33</v>
      </c>
      <c r="P23" s="56">
        <v>5</v>
      </c>
      <c r="Q23" s="57">
        <f t="shared" si="4"/>
        <v>-0.33000000000000007</v>
      </c>
      <c r="R23" s="58">
        <v>5.67</v>
      </c>
      <c r="S23" s="26">
        <v>6</v>
      </c>
      <c r="T23" s="59">
        <f t="shared" si="5"/>
        <v>0.33000000000000007</v>
      </c>
      <c r="U23" s="55">
        <v>5.67</v>
      </c>
      <c r="V23" s="56">
        <v>5</v>
      </c>
      <c r="W23" s="57">
        <f t="shared" si="6"/>
        <v>-0.66999999999999993</v>
      </c>
      <c r="X23" s="55">
        <f t="shared" si="20"/>
        <v>5.33</v>
      </c>
      <c r="Y23" s="56">
        <v>5</v>
      </c>
      <c r="Z23" s="57">
        <f t="shared" si="7"/>
        <v>-0.33000000000000007</v>
      </c>
      <c r="AA23" s="58">
        <f t="shared" si="8"/>
        <v>4.99</v>
      </c>
      <c r="AB23" s="26">
        <v>5</v>
      </c>
      <c r="AC23" s="59">
        <f t="shared" si="9"/>
        <v>9.9999999999997868E-3</v>
      </c>
      <c r="AD23" s="55">
        <f t="shared" si="10"/>
        <v>5</v>
      </c>
      <c r="AE23" s="56">
        <v>5</v>
      </c>
      <c r="AF23" s="57">
        <f t="shared" si="11"/>
        <v>0</v>
      </c>
      <c r="AG23" s="58">
        <f t="shared" si="12"/>
        <v>5.18</v>
      </c>
      <c r="AH23" s="26">
        <v>5</v>
      </c>
      <c r="AI23" s="59">
        <f t="shared" si="13"/>
        <v>-0.17999999999999972</v>
      </c>
      <c r="AJ23" s="55">
        <f t="shared" si="14"/>
        <v>5.33</v>
      </c>
      <c r="AK23" s="56">
        <v>5</v>
      </c>
      <c r="AL23" s="57">
        <f t="shared" si="15"/>
        <v>-0.33000000000000007</v>
      </c>
      <c r="AM23" s="58">
        <f t="shared" si="16"/>
        <v>5.67</v>
      </c>
      <c r="AN23" s="26">
        <v>6</v>
      </c>
      <c r="AO23" s="59">
        <f t="shared" si="17"/>
        <v>0.33000000000000007</v>
      </c>
      <c r="AP23" s="55">
        <f t="shared" si="18"/>
        <v>5.67</v>
      </c>
      <c r="AQ23" s="56">
        <v>5</v>
      </c>
      <c r="AR23" s="57">
        <f t="shared" si="19"/>
        <v>-0.66999999999999993</v>
      </c>
    </row>
    <row r="24" spans="2:44" x14ac:dyDescent="0.2">
      <c r="B24" s="54">
        <v>0.375</v>
      </c>
      <c r="C24" s="55">
        <v>5.33</v>
      </c>
      <c r="D24" s="56">
        <v>5</v>
      </c>
      <c r="E24" s="57">
        <f t="shared" si="0"/>
        <v>-0.33000000000000007</v>
      </c>
      <c r="F24" s="58">
        <v>5</v>
      </c>
      <c r="G24" s="26">
        <v>5</v>
      </c>
      <c r="H24" s="59">
        <f t="shared" si="1"/>
        <v>0</v>
      </c>
      <c r="I24" s="55">
        <v>5</v>
      </c>
      <c r="J24" s="56">
        <v>5</v>
      </c>
      <c r="K24" s="57">
        <f t="shared" si="2"/>
        <v>0</v>
      </c>
      <c r="L24" s="58">
        <v>5.33</v>
      </c>
      <c r="M24" s="26">
        <v>5</v>
      </c>
      <c r="N24" s="59">
        <f t="shared" si="3"/>
        <v>-0.33000000000000007</v>
      </c>
      <c r="O24" s="55">
        <v>5.44</v>
      </c>
      <c r="P24" s="56">
        <v>5</v>
      </c>
      <c r="Q24" s="57">
        <f t="shared" si="4"/>
        <v>-0.44000000000000039</v>
      </c>
      <c r="R24" s="58">
        <v>5.67</v>
      </c>
      <c r="S24" s="26">
        <v>6</v>
      </c>
      <c r="T24" s="59">
        <f t="shared" si="5"/>
        <v>0.33000000000000007</v>
      </c>
      <c r="U24" s="55">
        <v>5.67</v>
      </c>
      <c r="V24" s="56">
        <v>5</v>
      </c>
      <c r="W24" s="57">
        <f t="shared" si="6"/>
        <v>-0.66999999999999993</v>
      </c>
      <c r="X24" s="55">
        <f t="shared" si="20"/>
        <v>5.33</v>
      </c>
      <c r="Y24" s="56">
        <v>5</v>
      </c>
      <c r="Z24" s="57">
        <f t="shared" si="7"/>
        <v>-0.33000000000000007</v>
      </c>
      <c r="AA24" s="58">
        <f t="shared" si="8"/>
        <v>5</v>
      </c>
      <c r="AB24" s="26">
        <v>5</v>
      </c>
      <c r="AC24" s="59">
        <f t="shared" si="9"/>
        <v>0</v>
      </c>
      <c r="AD24" s="55">
        <f t="shared" si="10"/>
        <v>5</v>
      </c>
      <c r="AE24" s="56">
        <v>5</v>
      </c>
      <c r="AF24" s="57">
        <f t="shared" si="11"/>
        <v>0</v>
      </c>
      <c r="AG24" s="58">
        <f t="shared" si="12"/>
        <v>5.33</v>
      </c>
      <c r="AH24" s="26">
        <v>5</v>
      </c>
      <c r="AI24" s="59">
        <f t="shared" si="13"/>
        <v>-0.33000000000000007</v>
      </c>
      <c r="AJ24" s="55">
        <f t="shared" si="14"/>
        <v>5.44</v>
      </c>
      <c r="AK24" s="56">
        <v>5</v>
      </c>
      <c r="AL24" s="57">
        <f t="shared" si="15"/>
        <v>-0.44000000000000039</v>
      </c>
      <c r="AM24" s="58">
        <f t="shared" si="16"/>
        <v>5.67</v>
      </c>
      <c r="AN24" s="26">
        <v>6</v>
      </c>
      <c r="AO24" s="59">
        <f t="shared" si="17"/>
        <v>0.33000000000000007</v>
      </c>
      <c r="AP24" s="55">
        <f t="shared" si="18"/>
        <v>5.67</v>
      </c>
      <c r="AQ24" s="56">
        <v>5</v>
      </c>
      <c r="AR24" s="57">
        <f t="shared" si="19"/>
        <v>-0.66999999999999993</v>
      </c>
    </row>
    <row r="25" spans="2:44" x14ac:dyDescent="0.2">
      <c r="B25" s="54">
        <v>0.39583333333333298</v>
      </c>
      <c r="C25" s="55">
        <v>5.33</v>
      </c>
      <c r="D25" s="56">
        <v>5</v>
      </c>
      <c r="E25" s="57">
        <f t="shared" si="0"/>
        <v>-0.33000000000000007</v>
      </c>
      <c r="F25" s="58">
        <v>5</v>
      </c>
      <c r="G25" s="26">
        <v>5</v>
      </c>
      <c r="H25" s="59">
        <f t="shared" si="1"/>
        <v>0</v>
      </c>
      <c r="I25" s="55">
        <v>5</v>
      </c>
      <c r="J25" s="56">
        <v>5</v>
      </c>
      <c r="K25" s="57">
        <f t="shared" si="2"/>
        <v>0</v>
      </c>
      <c r="L25" s="58">
        <v>5.33</v>
      </c>
      <c r="M25" s="26">
        <v>5</v>
      </c>
      <c r="N25" s="59">
        <f t="shared" si="3"/>
        <v>-0.33000000000000007</v>
      </c>
      <c r="O25" s="55">
        <v>5.44</v>
      </c>
      <c r="P25" s="56">
        <v>5</v>
      </c>
      <c r="Q25" s="57">
        <f t="shared" si="4"/>
        <v>-0.44000000000000039</v>
      </c>
      <c r="R25" s="58">
        <v>5.67</v>
      </c>
      <c r="S25" s="26">
        <v>6</v>
      </c>
      <c r="T25" s="59">
        <f t="shared" si="5"/>
        <v>0.33000000000000007</v>
      </c>
      <c r="U25" s="55">
        <v>5.67</v>
      </c>
      <c r="V25" s="56">
        <v>5</v>
      </c>
      <c r="W25" s="57">
        <f t="shared" si="6"/>
        <v>-0.66999999999999993</v>
      </c>
      <c r="X25" s="55">
        <f t="shared" si="20"/>
        <v>5.33</v>
      </c>
      <c r="Y25" s="56">
        <v>5</v>
      </c>
      <c r="Z25" s="57">
        <f t="shared" si="7"/>
        <v>-0.33000000000000007</v>
      </c>
      <c r="AA25" s="58">
        <f t="shared" si="8"/>
        <v>5</v>
      </c>
      <c r="AB25" s="26">
        <v>5</v>
      </c>
      <c r="AC25" s="59">
        <f t="shared" si="9"/>
        <v>0</v>
      </c>
      <c r="AD25" s="55">
        <f t="shared" si="10"/>
        <v>5</v>
      </c>
      <c r="AE25" s="56">
        <v>5</v>
      </c>
      <c r="AF25" s="57">
        <f t="shared" si="11"/>
        <v>0</v>
      </c>
      <c r="AG25" s="58">
        <f t="shared" si="12"/>
        <v>5.33</v>
      </c>
      <c r="AH25" s="26">
        <v>5</v>
      </c>
      <c r="AI25" s="59">
        <f t="shared" si="13"/>
        <v>-0.33000000000000007</v>
      </c>
      <c r="AJ25" s="55">
        <f t="shared" si="14"/>
        <v>5.44</v>
      </c>
      <c r="AK25" s="56">
        <v>5</v>
      </c>
      <c r="AL25" s="57">
        <f t="shared" si="15"/>
        <v>-0.44000000000000039</v>
      </c>
      <c r="AM25" s="58">
        <f t="shared" si="16"/>
        <v>5.67</v>
      </c>
      <c r="AN25" s="26">
        <v>6</v>
      </c>
      <c r="AO25" s="59">
        <f t="shared" si="17"/>
        <v>0.33000000000000007</v>
      </c>
      <c r="AP25" s="55">
        <f t="shared" si="18"/>
        <v>5.67</v>
      </c>
      <c r="AQ25" s="56">
        <v>5</v>
      </c>
      <c r="AR25" s="57">
        <f t="shared" si="19"/>
        <v>-0.66999999999999993</v>
      </c>
    </row>
    <row r="26" spans="2:44" x14ac:dyDescent="0.2">
      <c r="B26" s="54">
        <v>0.41666666666666602</v>
      </c>
      <c r="C26" s="55">
        <v>5.33</v>
      </c>
      <c r="D26" s="56">
        <v>5</v>
      </c>
      <c r="E26" s="57">
        <f t="shared" si="0"/>
        <v>-0.33000000000000007</v>
      </c>
      <c r="F26" s="58">
        <v>5</v>
      </c>
      <c r="G26" s="26">
        <v>5</v>
      </c>
      <c r="H26" s="59">
        <f t="shared" si="1"/>
        <v>0</v>
      </c>
      <c r="I26" s="55">
        <v>5</v>
      </c>
      <c r="J26" s="56">
        <v>5</v>
      </c>
      <c r="K26" s="57">
        <f t="shared" si="2"/>
        <v>0</v>
      </c>
      <c r="L26" s="58">
        <v>5.08</v>
      </c>
      <c r="M26" s="26">
        <v>5</v>
      </c>
      <c r="N26" s="59">
        <f t="shared" si="3"/>
        <v>-8.0000000000000071E-2</v>
      </c>
      <c r="O26" s="55">
        <v>5.35</v>
      </c>
      <c r="P26" s="56">
        <v>5</v>
      </c>
      <c r="Q26" s="57">
        <f t="shared" si="4"/>
        <v>-0.34999999999999964</v>
      </c>
      <c r="R26" s="58">
        <v>5.67</v>
      </c>
      <c r="S26" s="26">
        <v>6</v>
      </c>
      <c r="T26" s="59">
        <f t="shared" si="5"/>
        <v>0.33000000000000007</v>
      </c>
      <c r="U26" s="55">
        <v>5.67</v>
      </c>
      <c r="V26" s="56">
        <v>5</v>
      </c>
      <c r="W26" s="57">
        <f t="shared" si="6"/>
        <v>-0.66999999999999993</v>
      </c>
      <c r="X26" s="55">
        <f t="shared" si="20"/>
        <v>5.33</v>
      </c>
      <c r="Y26" s="56">
        <v>5</v>
      </c>
      <c r="Z26" s="57">
        <f t="shared" si="7"/>
        <v>-0.33000000000000007</v>
      </c>
      <c r="AA26" s="58">
        <f t="shared" si="8"/>
        <v>5</v>
      </c>
      <c r="AB26" s="26">
        <v>5</v>
      </c>
      <c r="AC26" s="59">
        <f t="shared" si="9"/>
        <v>0</v>
      </c>
      <c r="AD26" s="55">
        <f t="shared" si="10"/>
        <v>5</v>
      </c>
      <c r="AE26" s="56">
        <v>5</v>
      </c>
      <c r="AF26" s="57">
        <f t="shared" si="11"/>
        <v>0</v>
      </c>
      <c r="AG26" s="58">
        <f t="shared" si="12"/>
        <v>5.08</v>
      </c>
      <c r="AH26" s="26">
        <v>5</v>
      </c>
      <c r="AI26" s="59">
        <f t="shared" si="13"/>
        <v>-8.0000000000000071E-2</v>
      </c>
      <c r="AJ26" s="55">
        <f t="shared" si="14"/>
        <v>5.35</v>
      </c>
      <c r="AK26" s="56">
        <v>5</v>
      </c>
      <c r="AL26" s="57">
        <f t="shared" si="15"/>
        <v>-0.34999999999999964</v>
      </c>
      <c r="AM26" s="58">
        <f t="shared" si="16"/>
        <v>5.67</v>
      </c>
      <c r="AN26" s="26">
        <v>6</v>
      </c>
      <c r="AO26" s="59">
        <f t="shared" si="17"/>
        <v>0.33000000000000007</v>
      </c>
      <c r="AP26" s="55">
        <f t="shared" si="18"/>
        <v>5.67</v>
      </c>
      <c r="AQ26" s="56">
        <v>5</v>
      </c>
      <c r="AR26" s="57">
        <f t="shared" si="19"/>
        <v>-0.66999999999999993</v>
      </c>
    </row>
    <row r="27" spans="2:44" x14ac:dyDescent="0.2">
      <c r="B27" s="54">
        <v>0.4375</v>
      </c>
      <c r="C27" s="55">
        <v>5.33</v>
      </c>
      <c r="D27" s="56">
        <v>5</v>
      </c>
      <c r="E27" s="57">
        <f t="shared" si="0"/>
        <v>-0.33000000000000007</v>
      </c>
      <c r="F27" s="58">
        <v>5</v>
      </c>
      <c r="G27" s="26">
        <v>5</v>
      </c>
      <c r="H27" s="59">
        <f t="shared" si="1"/>
        <v>0</v>
      </c>
      <c r="I27" s="55">
        <v>5</v>
      </c>
      <c r="J27" s="56">
        <v>5</v>
      </c>
      <c r="K27" s="57">
        <f t="shared" si="2"/>
        <v>0</v>
      </c>
      <c r="L27" s="58">
        <v>5.08</v>
      </c>
      <c r="M27" s="26">
        <v>5</v>
      </c>
      <c r="N27" s="59">
        <f t="shared" si="3"/>
        <v>-8.0000000000000071E-2</v>
      </c>
      <c r="O27" s="55">
        <v>5.35</v>
      </c>
      <c r="P27" s="56">
        <v>5</v>
      </c>
      <c r="Q27" s="57">
        <f t="shared" si="4"/>
        <v>-0.34999999999999964</v>
      </c>
      <c r="R27" s="58">
        <v>5.67</v>
      </c>
      <c r="S27" s="26">
        <v>6</v>
      </c>
      <c r="T27" s="59">
        <f t="shared" si="5"/>
        <v>0.33000000000000007</v>
      </c>
      <c r="U27" s="55">
        <v>5.67</v>
      </c>
      <c r="V27" s="56">
        <v>5</v>
      </c>
      <c r="W27" s="57">
        <f t="shared" si="6"/>
        <v>-0.66999999999999993</v>
      </c>
      <c r="X27" s="55">
        <f t="shared" si="20"/>
        <v>5.33</v>
      </c>
      <c r="Y27" s="56">
        <v>5</v>
      </c>
      <c r="Z27" s="57">
        <f t="shared" si="7"/>
        <v>-0.33000000000000007</v>
      </c>
      <c r="AA27" s="58">
        <f t="shared" si="8"/>
        <v>5</v>
      </c>
      <c r="AB27" s="26">
        <v>5</v>
      </c>
      <c r="AC27" s="59">
        <f t="shared" si="9"/>
        <v>0</v>
      </c>
      <c r="AD27" s="55">
        <f t="shared" si="10"/>
        <v>5</v>
      </c>
      <c r="AE27" s="56">
        <v>5</v>
      </c>
      <c r="AF27" s="57">
        <f t="shared" si="11"/>
        <v>0</v>
      </c>
      <c r="AG27" s="58">
        <f t="shared" si="12"/>
        <v>5.08</v>
      </c>
      <c r="AH27" s="26">
        <v>5</v>
      </c>
      <c r="AI27" s="59">
        <f t="shared" si="13"/>
        <v>-8.0000000000000071E-2</v>
      </c>
      <c r="AJ27" s="55">
        <f t="shared" si="14"/>
        <v>5.35</v>
      </c>
      <c r="AK27" s="56">
        <v>5</v>
      </c>
      <c r="AL27" s="57">
        <f t="shared" si="15"/>
        <v>-0.34999999999999964</v>
      </c>
      <c r="AM27" s="58">
        <f t="shared" si="16"/>
        <v>5.67</v>
      </c>
      <c r="AN27" s="26">
        <v>6</v>
      </c>
      <c r="AO27" s="59">
        <f t="shared" si="17"/>
        <v>0.33000000000000007</v>
      </c>
      <c r="AP27" s="55">
        <f t="shared" si="18"/>
        <v>5.67</v>
      </c>
      <c r="AQ27" s="56">
        <v>5</v>
      </c>
      <c r="AR27" s="57">
        <f t="shared" si="19"/>
        <v>-0.66999999999999993</v>
      </c>
    </row>
    <row r="28" spans="2:44" x14ac:dyDescent="0.2">
      <c r="B28" s="54">
        <v>0.45833333333333298</v>
      </c>
      <c r="C28" s="55">
        <v>5.23</v>
      </c>
      <c r="D28" s="56">
        <v>5</v>
      </c>
      <c r="E28" s="57">
        <f t="shared" si="0"/>
        <v>-0.23000000000000043</v>
      </c>
      <c r="F28" s="58">
        <v>5.04</v>
      </c>
      <c r="G28" s="26">
        <v>5</v>
      </c>
      <c r="H28" s="59">
        <f t="shared" si="1"/>
        <v>-4.0000000000000036E-2</v>
      </c>
      <c r="I28" s="55">
        <v>5</v>
      </c>
      <c r="J28" s="56">
        <v>5</v>
      </c>
      <c r="K28" s="57">
        <f t="shared" si="2"/>
        <v>0</v>
      </c>
      <c r="L28" s="58">
        <v>5.01</v>
      </c>
      <c r="M28" s="26">
        <v>5</v>
      </c>
      <c r="N28" s="59">
        <f t="shared" si="3"/>
        <v>-9.9999999999997868E-3</v>
      </c>
      <c r="O28" s="55">
        <v>5.33</v>
      </c>
      <c r="P28" s="56">
        <v>5</v>
      </c>
      <c r="Q28" s="57">
        <f t="shared" si="4"/>
        <v>-0.33000000000000007</v>
      </c>
      <c r="R28" s="58">
        <v>5.39</v>
      </c>
      <c r="S28" s="26">
        <v>6</v>
      </c>
      <c r="T28" s="59">
        <f t="shared" si="5"/>
        <v>0.61000000000000032</v>
      </c>
      <c r="U28" s="55">
        <v>5.33</v>
      </c>
      <c r="V28" s="56">
        <v>5</v>
      </c>
      <c r="W28" s="57">
        <f t="shared" si="6"/>
        <v>-0.33000000000000007</v>
      </c>
      <c r="X28" s="55">
        <f t="shared" si="20"/>
        <v>5.23</v>
      </c>
      <c r="Y28" s="56">
        <v>5</v>
      </c>
      <c r="Z28" s="57">
        <f t="shared" si="7"/>
        <v>-0.23000000000000043</v>
      </c>
      <c r="AA28" s="58">
        <f t="shared" si="8"/>
        <v>5.04</v>
      </c>
      <c r="AB28" s="26">
        <v>5</v>
      </c>
      <c r="AC28" s="59">
        <f t="shared" si="9"/>
        <v>-4.0000000000000036E-2</v>
      </c>
      <c r="AD28" s="55">
        <f t="shared" si="10"/>
        <v>5</v>
      </c>
      <c r="AE28" s="56">
        <v>5</v>
      </c>
      <c r="AF28" s="57">
        <f t="shared" si="11"/>
        <v>0</v>
      </c>
      <c r="AG28" s="58">
        <f t="shared" si="12"/>
        <v>5.01</v>
      </c>
      <c r="AH28" s="26">
        <v>5</v>
      </c>
      <c r="AI28" s="59">
        <f t="shared" si="13"/>
        <v>-9.9999999999997868E-3</v>
      </c>
      <c r="AJ28" s="55">
        <f t="shared" si="14"/>
        <v>5.33</v>
      </c>
      <c r="AK28" s="56">
        <v>5</v>
      </c>
      <c r="AL28" s="57">
        <f t="shared" si="15"/>
        <v>-0.33000000000000007</v>
      </c>
      <c r="AM28" s="58">
        <f t="shared" si="16"/>
        <v>5.39</v>
      </c>
      <c r="AN28" s="26">
        <v>6</v>
      </c>
      <c r="AO28" s="59">
        <f t="shared" si="17"/>
        <v>0.61000000000000032</v>
      </c>
      <c r="AP28" s="55">
        <f t="shared" si="18"/>
        <v>5.33</v>
      </c>
      <c r="AQ28" s="56">
        <v>5</v>
      </c>
      <c r="AR28" s="57">
        <f t="shared" si="19"/>
        <v>-0.33000000000000007</v>
      </c>
    </row>
    <row r="29" spans="2:44" x14ac:dyDescent="0.2">
      <c r="B29" s="54">
        <v>0.47916666666666602</v>
      </c>
      <c r="C29" s="55">
        <v>5.23</v>
      </c>
      <c r="D29" s="56">
        <v>5</v>
      </c>
      <c r="E29" s="57">
        <f t="shared" si="0"/>
        <v>-0.23000000000000043</v>
      </c>
      <c r="F29" s="58">
        <v>5.04</v>
      </c>
      <c r="G29" s="26">
        <v>5</v>
      </c>
      <c r="H29" s="59">
        <f t="shared" si="1"/>
        <v>-4.0000000000000036E-2</v>
      </c>
      <c r="I29" s="55">
        <v>5</v>
      </c>
      <c r="J29" s="56">
        <v>5</v>
      </c>
      <c r="K29" s="57">
        <f t="shared" si="2"/>
        <v>0</v>
      </c>
      <c r="L29" s="58">
        <v>5.01</v>
      </c>
      <c r="M29" s="26">
        <v>5</v>
      </c>
      <c r="N29" s="59">
        <f t="shared" si="3"/>
        <v>-9.9999999999997868E-3</v>
      </c>
      <c r="O29" s="55">
        <v>5.33</v>
      </c>
      <c r="P29" s="56">
        <v>5</v>
      </c>
      <c r="Q29" s="57">
        <f t="shared" si="4"/>
        <v>-0.33000000000000007</v>
      </c>
      <c r="R29" s="58">
        <v>5.39</v>
      </c>
      <c r="S29" s="26">
        <v>6</v>
      </c>
      <c r="T29" s="59">
        <f t="shared" si="5"/>
        <v>0.61000000000000032</v>
      </c>
      <c r="U29" s="55">
        <v>5.33</v>
      </c>
      <c r="V29" s="56">
        <v>5</v>
      </c>
      <c r="W29" s="57">
        <f t="shared" si="6"/>
        <v>-0.33000000000000007</v>
      </c>
      <c r="X29" s="55">
        <f t="shared" si="20"/>
        <v>5.23</v>
      </c>
      <c r="Y29" s="56">
        <v>5</v>
      </c>
      <c r="Z29" s="57">
        <f t="shared" si="7"/>
        <v>-0.23000000000000043</v>
      </c>
      <c r="AA29" s="58">
        <f t="shared" si="8"/>
        <v>5.04</v>
      </c>
      <c r="AB29" s="26">
        <v>5</v>
      </c>
      <c r="AC29" s="59">
        <f t="shared" si="9"/>
        <v>-4.0000000000000036E-2</v>
      </c>
      <c r="AD29" s="55">
        <f t="shared" si="10"/>
        <v>5</v>
      </c>
      <c r="AE29" s="56">
        <v>5</v>
      </c>
      <c r="AF29" s="57">
        <f t="shared" si="11"/>
        <v>0</v>
      </c>
      <c r="AG29" s="58">
        <f t="shared" si="12"/>
        <v>5.01</v>
      </c>
      <c r="AH29" s="26">
        <v>5</v>
      </c>
      <c r="AI29" s="59">
        <f t="shared" si="13"/>
        <v>-9.9999999999997868E-3</v>
      </c>
      <c r="AJ29" s="55">
        <f t="shared" si="14"/>
        <v>5.33</v>
      </c>
      <c r="AK29" s="56">
        <v>5</v>
      </c>
      <c r="AL29" s="57">
        <f t="shared" si="15"/>
        <v>-0.33000000000000007</v>
      </c>
      <c r="AM29" s="58">
        <f t="shared" si="16"/>
        <v>5.39</v>
      </c>
      <c r="AN29" s="26">
        <v>6</v>
      </c>
      <c r="AO29" s="59">
        <f t="shared" si="17"/>
        <v>0.61000000000000032</v>
      </c>
      <c r="AP29" s="55">
        <f t="shared" si="18"/>
        <v>5.33</v>
      </c>
      <c r="AQ29" s="56">
        <v>5</v>
      </c>
      <c r="AR29" s="57">
        <f t="shared" si="19"/>
        <v>-0.33000000000000007</v>
      </c>
    </row>
    <row r="30" spans="2:44" x14ac:dyDescent="0.2">
      <c r="B30" s="54">
        <v>0.5</v>
      </c>
      <c r="C30" s="55">
        <v>5</v>
      </c>
      <c r="D30" s="56">
        <v>5</v>
      </c>
      <c r="E30" s="57">
        <f t="shared" si="0"/>
        <v>0</v>
      </c>
      <c r="F30" s="58">
        <v>4.83</v>
      </c>
      <c r="G30" s="26">
        <v>5</v>
      </c>
      <c r="H30" s="59">
        <f t="shared" si="1"/>
        <v>0.16999999999999993</v>
      </c>
      <c r="I30" s="55">
        <v>4.9400000000000004</v>
      </c>
      <c r="J30" s="56">
        <v>5</v>
      </c>
      <c r="K30" s="57">
        <f t="shared" si="2"/>
        <v>5.9999999999999609E-2</v>
      </c>
      <c r="L30" s="58">
        <v>5</v>
      </c>
      <c r="M30" s="26">
        <v>5</v>
      </c>
      <c r="N30" s="59">
        <f t="shared" si="3"/>
        <v>0</v>
      </c>
      <c r="O30" s="55">
        <v>5.08</v>
      </c>
      <c r="P30" s="56">
        <v>5</v>
      </c>
      <c r="Q30" s="57">
        <f t="shared" si="4"/>
        <v>-8.0000000000000071E-2</v>
      </c>
      <c r="R30" s="58">
        <v>5.52</v>
      </c>
      <c r="S30" s="26">
        <v>6</v>
      </c>
      <c r="T30" s="59">
        <f t="shared" si="5"/>
        <v>0.48000000000000043</v>
      </c>
      <c r="U30" s="55">
        <v>5</v>
      </c>
      <c r="V30" s="56">
        <v>5</v>
      </c>
      <c r="W30" s="57">
        <f t="shared" si="6"/>
        <v>0</v>
      </c>
      <c r="X30" s="55">
        <f t="shared" si="20"/>
        <v>5</v>
      </c>
      <c r="Y30" s="56">
        <v>5</v>
      </c>
      <c r="Z30" s="57">
        <f t="shared" si="7"/>
        <v>0</v>
      </c>
      <c r="AA30" s="58">
        <f t="shared" si="8"/>
        <v>4.83</v>
      </c>
      <c r="AB30" s="26">
        <v>5</v>
      </c>
      <c r="AC30" s="59">
        <f t="shared" si="9"/>
        <v>0.16999999999999993</v>
      </c>
      <c r="AD30" s="55">
        <f t="shared" si="10"/>
        <v>4.9400000000000004</v>
      </c>
      <c r="AE30" s="56">
        <v>5</v>
      </c>
      <c r="AF30" s="57">
        <f t="shared" si="11"/>
        <v>5.9999999999999609E-2</v>
      </c>
      <c r="AG30" s="58">
        <f t="shared" si="12"/>
        <v>5</v>
      </c>
      <c r="AH30" s="26">
        <v>5</v>
      </c>
      <c r="AI30" s="59">
        <f t="shared" si="13"/>
        <v>0</v>
      </c>
      <c r="AJ30" s="55">
        <f t="shared" si="14"/>
        <v>5.08</v>
      </c>
      <c r="AK30" s="56">
        <v>5</v>
      </c>
      <c r="AL30" s="57">
        <f t="shared" si="15"/>
        <v>-8.0000000000000071E-2</v>
      </c>
      <c r="AM30" s="58">
        <f t="shared" si="16"/>
        <v>5.52</v>
      </c>
      <c r="AN30" s="26">
        <v>6</v>
      </c>
      <c r="AO30" s="59">
        <f t="shared" si="17"/>
        <v>0.48000000000000043</v>
      </c>
      <c r="AP30" s="55">
        <f t="shared" si="18"/>
        <v>5</v>
      </c>
      <c r="AQ30" s="56">
        <v>5</v>
      </c>
      <c r="AR30" s="57">
        <f t="shared" si="19"/>
        <v>0</v>
      </c>
    </row>
    <row r="31" spans="2:44" x14ac:dyDescent="0.2">
      <c r="B31" s="54">
        <v>0.52083333333333304</v>
      </c>
      <c r="C31" s="55">
        <v>5</v>
      </c>
      <c r="D31" s="56">
        <v>5</v>
      </c>
      <c r="E31" s="57">
        <f t="shared" si="0"/>
        <v>0</v>
      </c>
      <c r="F31" s="58">
        <v>4.83</v>
      </c>
      <c r="G31" s="26">
        <v>5</v>
      </c>
      <c r="H31" s="59">
        <f t="shared" si="1"/>
        <v>0.16999999999999993</v>
      </c>
      <c r="I31" s="55">
        <v>4.9400000000000004</v>
      </c>
      <c r="J31" s="56">
        <v>5</v>
      </c>
      <c r="K31" s="57">
        <f t="shared" si="2"/>
        <v>5.9999999999999609E-2</v>
      </c>
      <c r="L31" s="58">
        <v>5</v>
      </c>
      <c r="M31" s="26">
        <v>5</v>
      </c>
      <c r="N31" s="59">
        <f t="shared" si="3"/>
        <v>0</v>
      </c>
      <c r="O31" s="55">
        <v>5.08</v>
      </c>
      <c r="P31" s="56">
        <v>5</v>
      </c>
      <c r="Q31" s="57">
        <f t="shared" si="4"/>
        <v>-8.0000000000000071E-2</v>
      </c>
      <c r="R31" s="58">
        <v>5.52</v>
      </c>
      <c r="S31" s="26">
        <v>6</v>
      </c>
      <c r="T31" s="59">
        <f t="shared" si="5"/>
        <v>0.48000000000000043</v>
      </c>
      <c r="U31" s="55">
        <v>5</v>
      </c>
      <c r="V31" s="56">
        <v>5</v>
      </c>
      <c r="W31" s="57">
        <f t="shared" si="6"/>
        <v>0</v>
      </c>
      <c r="X31" s="55">
        <f t="shared" si="20"/>
        <v>5</v>
      </c>
      <c r="Y31" s="56">
        <v>5</v>
      </c>
      <c r="Z31" s="57">
        <f t="shared" si="7"/>
        <v>0</v>
      </c>
      <c r="AA31" s="58">
        <f t="shared" si="8"/>
        <v>4.83</v>
      </c>
      <c r="AB31" s="26">
        <v>5</v>
      </c>
      <c r="AC31" s="59">
        <f t="shared" si="9"/>
        <v>0.16999999999999993</v>
      </c>
      <c r="AD31" s="55">
        <f t="shared" si="10"/>
        <v>4.9400000000000004</v>
      </c>
      <c r="AE31" s="56">
        <v>5</v>
      </c>
      <c r="AF31" s="57">
        <f t="shared" si="11"/>
        <v>5.9999999999999609E-2</v>
      </c>
      <c r="AG31" s="58">
        <f t="shared" si="12"/>
        <v>5</v>
      </c>
      <c r="AH31" s="26">
        <v>5</v>
      </c>
      <c r="AI31" s="59">
        <f t="shared" si="13"/>
        <v>0</v>
      </c>
      <c r="AJ31" s="55">
        <f t="shared" si="14"/>
        <v>5.08</v>
      </c>
      <c r="AK31" s="56">
        <v>5</v>
      </c>
      <c r="AL31" s="57">
        <f t="shared" si="15"/>
        <v>-8.0000000000000071E-2</v>
      </c>
      <c r="AM31" s="58">
        <f t="shared" si="16"/>
        <v>5.52</v>
      </c>
      <c r="AN31" s="26">
        <v>6</v>
      </c>
      <c r="AO31" s="59">
        <f t="shared" si="17"/>
        <v>0.48000000000000043</v>
      </c>
      <c r="AP31" s="55">
        <f t="shared" si="18"/>
        <v>5</v>
      </c>
      <c r="AQ31" s="56">
        <v>5</v>
      </c>
      <c r="AR31" s="57">
        <f t="shared" si="19"/>
        <v>0</v>
      </c>
    </row>
    <row r="32" spans="2:44" x14ac:dyDescent="0.2">
      <c r="B32" s="54">
        <v>0.54166666666666596</v>
      </c>
      <c r="C32" s="55">
        <v>4.67</v>
      </c>
      <c r="D32" s="56">
        <v>5</v>
      </c>
      <c r="E32" s="57">
        <f t="shared" si="0"/>
        <v>0.33000000000000007</v>
      </c>
      <c r="F32" s="58">
        <v>4.74</v>
      </c>
      <c r="G32" s="26">
        <v>4</v>
      </c>
      <c r="H32" s="59">
        <f t="shared" si="1"/>
        <v>-0.74000000000000021</v>
      </c>
      <c r="I32" s="55">
        <v>5</v>
      </c>
      <c r="J32" s="56">
        <v>4</v>
      </c>
      <c r="K32" s="57">
        <f t="shared" si="2"/>
        <v>-1</v>
      </c>
      <c r="L32" s="58">
        <v>4.84</v>
      </c>
      <c r="M32" s="26">
        <v>4</v>
      </c>
      <c r="N32" s="59">
        <f t="shared" si="3"/>
        <v>-0.83999999999999986</v>
      </c>
      <c r="O32" s="55">
        <v>5</v>
      </c>
      <c r="P32" s="56">
        <v>5</v>
      </c>
      <c r="Q32" s="57">
        <f t="shared" si="4"/>
        <v>0</v>
      </c>
      <c r="R32" s="58">
        <v>5.36</v>
      </c>
      <c r="S32" s="26">
        <v>5</v>
      </c>
      <c r="T32" s="59">
        <f t="shared" si="5"/>
        <v>-0.36000000000000032</v>
      </c>
      <c r="U32" s="55">
        <v>4.8899999999999997</v>
      </c>
      <c r="V32" s="56">
        <v>4</v>
      </c>
      <c r="W32" s="57">
        <f t="shared" si="6"/>
        <v>-0.88999999999999968</v>
      </c>
      <c r="X32" s="55">
        <f t="shared" si="20"/>
        <v>4.67</v>
      </c>
      <c r="Y32" s="56">
        <v>4</v>
      </c>
      <c r="Z32" s="57">
        <f t="shared" si="7"/>
        <v>-0.66999999999999993</v>
      </c>
      <c r="AA32" s="58">
        <f t="shared" si="8"/>
        <v>4.74</v>
      </c>
      <c r="AB32" s="26">
        <v>5</v>
      </c>
      <c r="AC32" s="59">
        <f t="shared" si="9"/>
        <v>0.25999999999999979</v>
      </c>
      <c r="AD32" s="55">
        <f t="shared" si="10"/>
        <v>5</v>
      </c>
      <c r="AE32" s="56">
        <v>4</v>
      </c>
      <c r="AF32" s="57">
        <f t="shared" si="11"/>
        <v>-1</v>
      </c>
      <c r="AG32" s="58">
        <f t="shared" si="12"/>
        <v>4.84</v>
      </c>
      <c r="AH32" s="26">
        <v>5</v>
      </c>
      <c r="AI32" s="59">
        <f t="shared" si="13"/>
        <v>0.16000000000000014</v>
      </c>
      <c r="AJ32" s="55">
        <f t="shared" si="14"/>
        <v>5</v>
      </c>
      <c r="AK32" s="56">
        <v>4</v>
      </c>
      <c r="AL32" s="57">
        <f t="shared" si="15"/>
        <v>-1</v>
      </c>
      <c r="AM32" s="58">
        <f t="shared" si="16"/>
        <v>5.36</v>
      </c>
      <c r="AN32" s="26">
        <v>5</v>
      </c>
      <c r="AO32" s="59">
        <f t="shared" si="17"/>
        <v>-0.36000000000000032</v>
      </c>
      <c r="AP32" s="55">
        <f t="shared" si="18"/>
        <v>4.8899999999999997</v>
      </c>
      <c r="AQ32" s="56">
        <v>5</v>
      </c>
      <c r="AR32" s="57">
        <f t="shared" si="19"/>
        <v>0.11000000000000032</v>
      </c>
    </row>
    <row r="33" spans="2:44" x14ac:dyDescent="0.2">
      <c r="B33" s="54">
        <v>0.5625</v>
      </c>
      <c r="C33" s="55">
        <v>4.67</v>
      </c>
      <c r="D33" s="56">
        <v>5</v>
      </c>
      <c r="E33" s="57">
        <f t="shared" si="0"/>
        <v>0.33000000000000007</v>
      </c>
      <c r="F33" s="58">
        <v>4.74</v>
      </c>
      <c r="G33" s="26">
        <v>4</v>
      </c>
      <c r="H33" s="59">
        <f t="shared" si="1"/>
        <v>-0.74000000000000021</v>
      </c>
      <c r="I33" s="55">
        <v>5</v>
      </c>
      <c r="J33" s="56">
        <v>4</v>
      </c>
      <c r="K33" s="57">
        <f t="shared" si="2"/>
        <v>-1</v>
      </c>
      <c r="L33" s="58">
        <v>4.84</v>
      </c>
      <c r="M33" s="26">
        <v>4</v>
      </c>
      <c r="N33" s="59">
        <f t="shared" si="3"/>
        <v>-0.83999999999999986</v>
      </c>
      <c r="O33" s="55">
        <v>5</v>
      </c>
      <c r="P33" s="56">
        <v>5</v>
      </c>
      <c r="Q33" s="57">
        <f t="shared" si="4"/>
        <v>0</v>
      </c>
      <c r="R33" s="58">
        <v>5.36</v>
      </c>
      <c r="S33" s="26">
        <v>5</v>
      </c>
      <c r="T33" s="59">
        <f t="shared" si="5"/>
        <v>-0.36000000000000032</v>
      </c>
      <c r="U33" s="55">
        <v>4.8899999999999997</v>
      </c>
      <c r="V33" s="56">
        <v>4</v>
      </c>
      <c r="W33" s="57">
        <f t="shared" si="6"/>
        <v>-0.88999999999999968</v>
      </c>
      <c r="X33" s="55">
        <f t="shared" si="20"/>
        <v>4.67</v>
      </c>
      <c r="Y33" s="56">
        <v>4</v>
      </c>
      <c r="Z33" s="57">
        <f t="shared" si="7"/>
        <v>-0.66999999999999993</v>
      </c>
      <c r="AA33" s="58">
        <f t="shared" si="8"/>
        <v>4.74</v>
      </c>
      <c r="AB33" s="26">
        <v>5</v>
      </c>
      <c r="AC33" s="59">
        <f t="shared" si="9"/>
        <v>0.25999999999999979</v>
      </c>
      <c r="AD33" s="55">
        <f t="shared" si="10"/>
        <v>5</v>
      </c>
      <c r="AE33" s="56">
        <v>4</v>
      </c>
      <c r="AF33" s="57">
        <f t="shared" si="11"/>
        <v>-1</v>
      </c>
      <c r="AG33" s="58">
        <f t="shared" si="12"/>
        <v>4.84</v>
      </c>
      <c r="AH33" s="26">
        <v>5</v>
      </c>
      <c r="AI33" s="59">
        <f t="shared" si="13"/>
        <v>0.16000000000000014</v>
      </c>
      <c r="AJ33" s="55">
        <f t="shared" si="14"/>
        <v>5</v>
      </c>
      <c r="AK33" s="56">
        <v>4</v>
      </c>
      <c r="AL33" s="57">
        <f t="shared" si="15"/>
        <v>-1</v>
      </c>
      <c r="AM33" s="58">
        <f t="shared" si="16"/>
        <v>5.36</v>
      </c>
      <c r="AN33" s="26">
        <v>5</v>
      </c>
      <c r="AO33" s="59">
        <f t="shared" si="17"/>
        <v>-0.36000000000000032</v>
      </c>
      <c r="AP33" s="55">
        <f t="shared" si="18"/>
        <v>4.8899999999999997</v>
      </c>
      <c r="AQ33" s="56">
        <v>5</v>
      </c>
      <c r="AR33" s="57">
        <f t="shared" si="19"/>
        <v>0.11000000000000032</v>
      </c>
    </row>
    <row r="34" spans="2:44" x14ac:dyDescent="0.2">
      <c r="B34" s="54">
        <v>0.58333333333333304</v>
      </c>
      <c r="C34" s="55">
        <v>4.62</v>
      </c>
      <c r="D34" s="56">
        <v>5</v>
      </c>
      <c r="E34" s="57">
        <f t="shared" si="0"/>
        <v>0.37999999999999989</v>
      </c>
      <c r="F34" s="58">
        <v>4.72</v>
      </c>
      <c r="G34" s="26">
        <v>4</v>
      </c>
      <c r="H34" s="59">
        <f t="shared" si="1"/>
        <v>-0.71999999999999975</v>
      </c>
      <c r="I34" s="55">
        <v>4.67</v>
      </c>
      <c r="J34" s="56">
        <v>4</v>
      </c>
      <c r="K34" s="57">
        <f t="shared" si="2"/>
        <v>-0.66999999999999993</v>
      </c>
      <c r="L34" s="58">
        <v>4.79</v>
      </c>
      <c r="M34" s="26">
        <v>4</v>
      </c>
      <c r="N34" s="59">
        <f t="shared" si="3"/>
        <v>-0.79</v>
      </c>
      <c r="O34" s="55">
        <v>4.8600000000000003</v>
      </c>
      <c r="P34" s="56">
        <v>5</v>
      </c>
      <c r="Q34" s="57">
        <f t="shared" si="4"/>
        <v>0.13999999999999968</v>
      </c>
      <c r="R34" s="58">
        <v>5.3</v>
      </c>
      <c r="S34" s="26">
        <v>5</v>
      </c>
      <c r="T34" s="59">
        <f t="shared" si="5"/>
        <v>-0.29999999999999982</v>
      </c>
      <c r="U34" s="55">
        <v>4.67</v>
      </c>
      <c r="V34" s="56">
        <v>4</v>
      </c>
      <c r="W34" s="57">
        <f t="shared" si="6"/>
        <v>-0.66999999999999993</v>
      </c>
      <c r="X34" s="55">
        <f t="shared" si="20"/>
        <v>4.62</v>
      </c>
      <c r="Y34" s="56">
        <v>4</v>
      </c>
      <c r="Z34" s="57">
        <f t="shared" si="7"/>
        <v>-0.62000000000000011</v>
      </c>
      <c r="AA34" s="58">
        <f t="shared" si="8"/>
        <v>4.72</v>
      </c>
      <c r="AB34" s="26">
        <v>5</v>
      </c>
      <c r="AC34" s="59">
        <f t="shared" si="9"/>
        <v>0.28000000000000025</v>
      </c>
      <c r="AD34" s="55">
        <f t="shared" si="10"/>
        <v>4.67</v>
      </c>
      <c r="AE34" s="56">
        <v>4</v>
      </c>
      <c r="AF34" s="57">
        <f t="shared" si="11"/>
        <v>-0.66999999999999993</v>
      </c>
      <c r="AG34" s="58">
        <f t="shared" si="12"/>
        <v>4.79</v>
      </c>
      <c r="AH34" s="26">
        <v>5</v>
      </c>
      <c r="AI34" s="59">
        <f t="shared" si="13"/>
        <v>0.20999999999999996</v>
      </c>
      <c r="AJ34" s="55">
        <f t="shared" si="14"/>
        <v>4.8600000000000003</v>
      </c>
      <c r="AK34" s="56">
        <v>4</v>
      </c>
      <c r="AL34" s="57">
        <f t="shared" si="15"/>
        <v>-0.86000000000000032</v>
      </c>
      <c r="AM34" s="58">
        <f t="shared" si="16"/>
        <v>5.3</v>
      </c>
      <c r="AN34" s="26">
        <v>5</v>
      </c>
      <c r="AO34" s="59">
        <f t="shared" si="17"/>
        <v>-0.29999999999999982</v>
      </c>
      <c r="AP34" s="55">
        <f t="shared" si="18"/>
        <v>4.67</v>
      </c>
      <c r="AQ34" s="56">
        <v>5</v>
      </c>
      <c r="AR34" s="57">
        <f t="shared" si="19"/>
        <v>0.33000000000000007</v>
      </c>
    </row>
    <row r="35" spans="2:44" x14ac:dyDescent="0.2">
      <c r="B35" s="54">
        <v>0.60416666666666596</v>
      </c>
      <c r="C35" s="55">
        <v>4.62</v>
      </c>
      <c r="D35" s="56">
        <v>5</v>
      </c>
      <c r="E35" s="57">
        <f t="shared" si="0"/>
        <v>0.37999999999999989</v>
      </c>
      <c r="F35" s="58">
        <v>4.72</v>
      </c>
      <c r="G35" s="26">
        <v>4</v>
      </c>
      <c r="H35" s="59">
        <f t="shared" si="1"/>
        <v>-0.71999999999999975</v>
      </c>
      <c r="I35" s="55">
        <v>4.67</v>
      </c>
      <c r="J35" s="56">
        <v>4</v>
      </c>
      <c r="K35" s="57">
        <f t="shared" si="2"/>
        <v>-0.66999999999999993</v>
      </c>
      <c r="L35" s="58">
        <v>4.79</v>
      </c>
      <c r="M35" s="26">
        <v>4</v>
      </c>
      <c r="N35" s="59">
        <f t="shared" si="3"/>
        <v>-0.79</v>
      </c>
      <c r="O35" s="55">
        <v>4.8600000000000003</v>
      </c>
      <c r="P35" s="56">
        <v>5</v>
      </c>
      <c r="Q35" s="57">
        <f t="shared" si="4"/>
        <v>0.13999999999999968</v>
      </c>
      <c r="R35" s="58">
        <v>5.3</v>
      </c>
      <c r="S35" s="26">
        <v>5</v>
      </c>
      <c r="T35" s="59">
        <f t="shared" si="5"/>
        <v>-0.29999999999999982</v>
      </c>
      <c r="U35" s="55">
        <v>4.67</v>
      </c>
      <c r="V35" s="56">
        <v>4</v>
      </c>
      <c r="W35" s="57">
        <f t="shared" si="6"/>
        <v>-0.66999999999999993</v>
      </c>
      <c r="X35" s="55">
        <f t="shared" si="20"/>
        <v>4.62</v>
      </c>
      <c r="Y35" s="56">
        <v>4</v>
      </c>
      <c r="Z35" s="57">
        <f t="shared" si="7"/>
        <v>-0.62000000000000011</v>
      </c>
      <c r="AA35" s="58">
        <f t="shared" si="8"/>
        <v>4.72</v>
      </c>
      <c r="AB35" s="26">
        <v>5</v>
      </c>
      <c r="AC35" s="59">
        <f t="shared" si="9"/>
        <v>0.28000000000000025</v>
      </c>
      <c r="AD35" s="55">
        <f t="shared" si="10"/>
        <v>4.67</v>
      </c>
      <c r="AE35" s="56">
        <v>4</v>
      </c>
      <c r="AF35" s="57">
        <f t="shared" si="11"/>
        <v>-0.66999999999999993</v>
      </c>
      <c r="AG35" s="58">
        <f t="shared" si="12"/>
        <v>4.79</v>
      </c>
      <c r="AH35" s="26">
        <v>5</v>
      </c>
      <c r="AI35" s="59">
        <f t="shared" si="13"/>
        <v>0.20999999999999996</v>
      </c>
      <c r="AJ35" s="55">
        <f t="shared" si="14"/>
        <v>4.8600000000000003</v>
      </c>
      <c r="AK35" s="56">
        <v>4</v>
      </c>
      <c r="AL35" s="57">
        <f t="shared" si="15"/>
        <v>-0.86000000000000032</v>
      </c>
      <c r="AM35" s="58">
        <f t="shared" si="16"/>
        <v>5.3</v>
      </c>
      <c r="AN35" s="26">
        <v>5</v>
      </c>
      <c r="AO35" s="59">
        <f t="shared" si="17"/>
        <v>-0.29999999999999982</v>
      </c>
      <c r="AP35" s="55">
        <f t="shared" si="18"/>
        <v>4.67</v>
      </c>
      <c r="AQ35" s="56">
        <v>5</v>
      </c>
      <c r="AR35" s="57">
        <f t="shared" si="19"/>
        <v>0.33000000000000007</v>
      </c>
    </row>
    <row r="36" spans="2:44" x14ac:dyDescent="0.2">
      <c r="B36" s="54">
        <v>0.625</v>
      </c>
      <c r="C36" s="55">
        <v>4.33</v>
      </c>
      <c r="D36" s="56">
        <v>4</v>
      </c>
      <c r="E36" s="57">
        <f t="shared" si="0"/>
        <v>-0.33000000000000007</v>
      </c>
      <c r="F36" s="58">
        <v>4.67</v>
      </c>
      <c r="G36" s="26">
        <v>4</v>
      </c>
      <c r="H36" s="59">
        <f t="shared" si="1"/>
        <v>-0.66999999999999993</v>
      </c>
      <c r="I36" s="55">
        <v>4.67</v>
      </c>
      <c r="J36" s="56">
        <v>5</v>
      </c>
      <c r="K36" s="57">
        <f t="shared" si="2"/>
        <v>0.33000000000000007</v>
      </c>
      <c r="L36" s="58">
        <v>4.6900000000000004</v>
      </c>
      <c r="M36" s="26">
        <v>4</v>
      </c>
      <c r="N36" s="59">
        <f t="shared" si="3"/>
        <v>-0.69000000000000039</v>
      </c>
      <c r="O36" s="55">
        <v>4.75</v>
      </c>
      <c r="P36" s="56">
        <v>5</v>
      </c>
      <c r="Q36" s="57">
        <f t="shared" si="4"/>
        <v>0.25</v>
      </c>
      <c r="R36" s="58">
        <v>5.01</v>
      </c>
      <c r="S36" s="26">
        <v>5</v>
      </c>
      <c r="T36" s="59">
        <f t="shared" si="5"/>
        <v>-9.9999999999997868E-3</v>
      </c>
      <c r="U36" s="55">
        <v>4.6100000000000003</v>
      </c>
      <c r="V36" s="56">
        <v>5</v>
      </c>
      <c r="W36" s="57">
        <f t="shared" si="6"/>
        <v>0.38999999999999968</v>
      </c>
      <c r="X36" s="55">
        <f t="shared" si="20"/>
        <v>4.33</v>
      </c>
      <c r="Y36" s="56">
        <v>4</v>
      </c>
      <c r="Z36" s="57">
        <f t="shared" si="7"/>
        <v>-0.33000000000000007</v>
      </c>
      <c r="AA36" s="58">
        <f t="shared" si="8"/>
        <v>4.67</v>
      </c>
      <c r="AB36" s="26">
        <v>4</v>
      </c>
      <c r="AC36" s="59">
        <f t="shared" si="9"/>
        <v>-0.66999999999999993</v>
      </c>
      <c r="AD36" s="55">
        <f t="shared" si="10"/>
        <v>4.67</v>
      </c>
      <c r="AE36" s="56">
        <v>5</v>
      </c>
      <c r="AF36" s="57">
        <f t="shared" si="11"/>
        <v>0.33000000000000007</v>
      </c>
      <c r="AG36" s="58">
        <f t="shared" si="12"/>
        <v>4.6900000000000004</v>
      </c>
      <c r="AH36" s="26">
        <v>5</v>
      </c>
      <c r="AI36" s="59">
        <f t="shared" si="13"/>
        <v>0.30999999999999961</v>
      </c>
      <c r="AJ36" s="55">
        <f t="shared" si="14"/>
        <v>4.75</v>
      </c>
      <c r="AK36" s="56">
        <v>5</v>
      </c>
      <c r="AL36" s="57">
        <f t="shared" si="15"/>
        <v>0.25</v>
      </c>
      <c r="AM36" s="58">
        <f t="shared" si="16"/>
        <v>5.01</v>
      </c>
      <c r="AN36" s="26">
        <v>5</v>
      </c>
      <c r="AO36" s="59">
        <f t="shared" si="17"/>
        <v>-9.9999999999997868E-3</v>
      </c>
      <c r="AP36" s="55">
        <f t="shared" si="18"/>
        <v>4.6100000000000003</v>
      </c>
      <c r="AQ36" s="56">
        <v>5</v>
      </c>
      <c r="AR36" s="57">
        <f t="shared" si="19"/>
        <v>0.38999999999999968</v>
      </c>
    </row>
    <row r="37" spans="2:44" x14ac:dyDescent="0.2">
      <c r="B37" s="54">
        <v>0.64583333333333304</v>
      </c>
      <c r="C37" s="55">
        <v>4.33</v>
      </c>
      <c r="D37" s="56">
        <v>4</v>
      </c>
      <c r="E37" s="57">
        <f t="shared" si="0"/>
        <v>-0.33000000000000007</v>
      </c>
      <c r="F37" s="58">
        <v>4.67</v>
      </c>
      <c r="G37" s="26">
        <v>4</v>
      </c>
      <c r="H37" s="59">
        <f t="shared" si="1"/>
        <v>-0.66999999999999993</v>
      </c>
      <c r="I37" s="55">
        <v>4.67</v>
      </c>
      <c r="J37" s="56">
        <v>5</v>
      </c>
      <c r="K37" s="57">
        <f t="shared" si="2"/>
        <v>0.33000000000000007</v>
      </c>
      <c r="L37" s="58">
        <v>4.6900000000000004</v>
      </c>
      <c r="M37" s="26">
        <v>4</v>
      </c>
      <c r="N37" s="59">
        <f t="shared" si="3"/>
        <v>-0.69000000000000039</v>
      </c>
      <c r="O37" s="55">
        <v>4.75</v>
      </c>
      <c r="P37" s="56">
        <v>5</v>
      </c>
      <c r="Q37" s="57">
        <f t="shared" si="4"/>
        <v>0.25</v>
      </c>
      <c r="R37" s="58">
        <v>5.01</v>
      </c>
      <c r="S37" s="26">
        <v>5</v>
      </c>
      <c r="T37" s="59">
        <f t="shared" si="5"/>
        <v>-9.9999999999997868E-3</v>
      </c>
      <c r="U37" s="55">
        <v>4.6100000000000003</v>
      </c>
      <c r="V37" s="56">
        <v>5</v>
      </c>
      <c r="W37" s="57">
        <f t="shared" si="6"/>
        <v>0.38999999999999968</v>
      </c>
      <c r="X37" s="55">
        <f t="shared" si="20"/>
        <v>4.33</v>
      </c>
      <c r="Y37" s="56">
        <v>4</v>
      </c>
      <c r="Z37" s="57">
        <f t="shared" si="7"/>
        <v>-0.33000000000000007</v>
      </c>
      <c r="AA37" s="58">
        <f t="shared" si="8"/>
        <v>4.67</v>
      </c>
      <c r="AB37" s="26">
        <v>4</v>
      </c>
      <c r="AC37" s="59">
        <f t="shared" si="9"/>
        <v>-0.66999999999999993</v>
      </c>
      <c r="AD37" s="55">
        <f t="shared" si="10"/>
        <v>4.67</v>
      </c>
      <c r="AE37" s="56">
        <v>5</v>
      </c>
      <c r="AF37" s="57">
        <f t="shared" si="11"/>
        <v>0.33000000000000007</v>
      </c>
      <c r="AG37" s="58">
        <f t="shared" si="12"/>
        <v>4.6900000000000004</v>
      </c>
      <c r="AH37" s="26">
        <v>5</v>
      </c>
      <c r="AI37" s="59">
        <f t="shared" si="13"/>
        <v>0.30999999999999961</v>
      </c>
      <c r="AJ37" s="55">
        <f t="shared" si="14"/>
        <v>4.75</v>
      </c>
      <c r="AK37" s="56">
        <v>5</v>
      </c>
      <c r="AL37" s="57">
        <f t="shared" si="15"/>
        <v>0.25</v>
      </c>
      <c r="AM37" s="58">
        <f t="shared" si="16"/>
        <v>5.01</v>
      </c>
      <c r="AN37" s="26">
        <v>5</v>
      </c>
      <c r="AO37" s="59">
        <f t="shared" si="17"/>
        <v>-9.9999999999997868E-3</v>
      </c>
      <c r="AP37" s="55">
        <f t="shared" si="18"/>
        <v>4.6100000000000003</v>
      </c>
      <c r="AQ37" s="56">
        <v>5</v>
      </c>
      <c r="AR37" s="57">
        <f t="shared" si="19"/>
        <v>0.38999999999999968</v>
      </c>
    </row>
    <row r="38" spans="2:44" x14ac:dyDescent="0.2">
      <c r="B38" s="54">
        <v>0.66666666666666596</v>
      </c>
      <c r="C38" s="55">
        <v>4.33</v>
      </c>
      <c r="D38" s="56">
        <v>4</v>
      </c>
      <c r="E38" s="57">
        <f t="shared" ref="E38:E54" si="21">D38-C38</f>
        <v>-0.33000000000000007</v>
      </c>
      <c r="F38" s="58">
        <v>4.33</v>
      </c>
      <c r="G38" s="26">
        <v>4</v>
      </c>
      <c r="H38" s="59">
        <f t="shared" ref="H38:H54" si="22">G38-F38</f>
        <v>-0.33000000000000007</v>
      </c>
      <c r="I38" s="55">
        <v>4.6900000000000004</v>
      </c>
      <c r="J38" s="56">
        <v>5</v>
      </c>
      <c r="K38" s="57">
        <f t="shared" ref="K38:K54" si="23">J38-I38</f>
        <v>0.30999999999999961</v>
      </c>
      <c r="L38" s="58">
        <v>4.67</v>
      </c>
      <c r="M38" s="26">
        <v>4</v>
      </c>
      <c r="N38" s="59">
        <f t="shared" ref="N38:N54" si="24">M38-L38</f>
        <v>-0.66999999999999993</v>
      </c>
      <c r="O38" s="55">
        <v>4.9400000000000004</v>
      </c>
      <c r="P38" s="56">
        <v>5</v>
      </c>
      <c r="Q38" s="57">
        <f t="shared" ref="Q38:Q54" si="25">P38-O38</f>
        <v>5.9999999999999609E-2</v>
      </c>
      <c r="R38" s="58">
        <v>5.03</v>
      </c>
      <c r="S38" s="26">
        <v>5</v>
      </c>
      <c r="T38" s="59">
        <f t="shared" ref="T38:T54" si="26">S38-R38</f>
        <v>-3.0000000000000249E-2</v>
      </c>
      <c r="U38" s="55">
        <v>4.67</v>
      </c>
      <c r="V38" s="56">
        <v>5</v>
      </c>
      <c r="W38" s="57">
        <f t="shared" ref="W38:W54" si="27">V38-U38</f>
        <v>0.33000000000000007</v>
      </c>
      <c r="X38" s="55">
        <f t="shared" si="20"/>
        <v>4.33</v>
      </c>
      <c r="Y38" s="56">
        <v>4</v>
      </c>
      <c r="Z38" s="57">
        <f t="shared" si="7"/>
        <v>-0.33000000000000007</v>
      </c>
      <c r="AA38" s="58">
        <f t="shared" si="8"/>
        <v>4.33</v>
      </c>
      <c r="AB38" s="26">
        <v>4</v>
      </c>
      <c r="AC38" s="59">
        <f t="shared" si="9"/>
        <v>-0.33000000000000007</v>
      </c>
      <c r="AD38" s="55">
        <f t="shared" si="10"/>
        <v>4.6900000000000004</v>
      </c>
      <c r="AE38" s="56">
        <v>5</v>
      </c>
      <c r="AF38" s="57">
        <f t="shared" si="11"/>
        <v>0.30999999999999961</v>
      </c>
      <c r="AG38" s="58">
        <f t="shared" si="12"/>
        <v>4.67</v>
      </c>
      <c r="AH38" s="26">
        <v>5</v>
      </c>
      <c r="AI38" s="59">
        <f t="shared" si="13"/>
        <v>0.33000000000000007</v>
      </c>
      <c r="AJ38" s="55">
        <f t="shared" si="14"/>
        <v>4.9400000000000004</v>
      </c>
      <c r="AK38" s="56">
        <v>5</v>
      </c>
      <c r="AL38" s="57">
        <f t="shared" si="15"/>
        <v>5.9999999999999609E-2</v>
      </c>
      <c r="AM38" s="58">
        <f t="shared" si="16"/>
        <v>5.03</v>
      </c>
      <c r="AN38" s="26">
        <v>5</v>
      </c>
      <c r="AO38" s="59">
        <f t="shared" si="17"/>
        <v>-3.0000000000000249E-2</v>
      </c>
      <c r="AP38" s="55">
        <f t="shared" si="18"/>
        <v>4.67</v>
      </c>
      <c r="AQ38" s="56">
        <v>5</v>
      </c>
      <c r="AR38" s="57">
        <f t="shared" si="19"/>
        <v>0.33000000000000007</v>
      </c>
    </row>
    <row r="39" spans="2:44" x14ac:dyDescent="0.2">
      <c r="B39" s="54">
        <v>0.6875</v>
      </c>
      <c r="C39" s="55">
        <v>4.33</v>
      </c>
      <c r="D39" s="56">
        <v>4</v>
      </c>
      <c r="E39" s="57">
        <f t="shared" si="21"/>
        <v>-0.33000000000000007</v>
      </c>
      <c r="F39" s="58">
        <v>4.33</v>
      </c>
      <c r="G39" s="26">
        <v>4</v>
      </c>
      <c r="H39" s="59">
        <f t="shared" si="22"/>
        <v>-0.33000000000000007</v>
      </c>
      <c r="I39" s="55">
        <v>4.6900000000000004</v>
      </c>
      <c r="J39" s="56">
        <v>5</v>
      </c>
      <c r="K39" s="57">
        <f t="shared" si="23"/>
        <v>0.30999999999999961</v>
      </c>
      <c r="L39" s="58">
        <v>4.67</v>
      </c>
      <c r="M39" s="26">
        <v>4</v>
      </c>
      <c r="N39" s="59">
        <f t="shared" si="24"/>
        <v>-0.66999999999999993</v>
      </c>
      <c r="O39" s="55">
        <v>4.9400000000000004</v>
      </c>
      <c r="P39" s="56">
        <v>5</v>
      </c>
      <c r="Q39" s="57">
        <f t="shared" si="25"/>
        <v>5.9999999999999609E-2</v>
      </c>
      <c r="R39" s="58">
        <v>5.03</v>
      </c>
      <c r="S39" s="26">
        <v>5</v>
      </c>
      <c r="T39" s="59">
        <f t="shared" si="26"/>
        <v>-3.0000000000000249E-2</v>
      </c>
      <c r="U39" s="55">
        <v>4.67</v>
      </c>
      <c r="V39" s="56">
        <v>5</v>
      </c>
      <c r="W39" s="57">
        <f t="shared" si="27"/>
        <v>0.33000000000000007</v>
      </c>
      <c r="X39" s="55">
        <f t="shared" si="20"/>
        <v>4.33</v>
      </c>
      <c r="Y39" s="56">
        <v>4</v>
      </c>
      <c r="Z39" s="57">
        <f t="shared" si="7"/>
        <v>-0.33000000000000007</v>
      </c>
      <c r="AA39" s="58">
        <f t="shared" si="8"/>
        <v>4.33</v>
      </c>
      <c r="AB39" s="26">
        <v>4</v>
      </c>
      <c r="AC39" s="59">
        <f t="shared" si="9"/>
        <v>-0.33000000000000007</v>
      </c>
      <c r="AD39" s="55">
        <f t="shared" si="10"/>
        <v>4.6900000000000004</v>
      </c>
      <c r="AE39" s="56">
        <v>5</v>
      </c>
      <c r="AF39" s="57">
        <f t="shared" si="11"/>
        <v>0.30999999999999961</v>
      </c>
      <c r="AG39" s="58">
        <f t="shared" si="12"/>
        <v>4.67</v>
      </c>
      <c r="AH39" s="26">
        <v>5</v>
      </c>
      <c r="AI39" s="59">
        <f t="shared" si="13"/>
        <v>0.33000000000000007</v>
      </c>
      <c r="AJ39" s="55">
        <f t="shared" si="14"/>
        <v>4.9400000000000004</v>
      </c>
      <c r="AK39" s="56">
        <v>5</v>
      </c>
      <c r="AL39" s="57">
        <f t="shared" si="15"/>
        <v>5.9999999999999609E-2</v>
      </c>
      <c r="AM39" s="58">
        <f t="shared" si="16"/>
        <v>5.03</v>
      </c>
      <c r="AN39" s="26">
        <v>5</v>
      </c>
      <c r="AO39" s="59">
        <f t="shared" si="17"/>
        <v>-3.0000000000000249E-2</v>
      </c>
      <c r="AP39" s="55">
        <f t="shared" si="18"/>
        <v>4.67</v>
      </c>
      <c r="AQ39" s="56">
        <v>5</v>
      </c>
      <c r="AR39" s="57">
        <f t="shared" si="19"/>
        <v>0.33000000000000007</v>
      </c>
    </row>
    <row r="40" spans="2:44" x14ac:dyDescent="0.2">
      <c r="B40" s="54">
        <v>0.70833333333333304</v>
      </c>
      <c r="C40" s="55">
        <v>4.33</v>
      </c>
      <c r="D40" s="56">
        <v>4</v>
      </c>
      <c r="E40" s="57">
        <f t="shared" si="21"/>
        <v>-0.33000000000000007</v>
      </c>
      <c r="F40" s="58">
        <v>4.17</v>
      </c>
      <c r="G40" s="26">
        <v>4</v>
      </c>
      <c r="H40" s="59">
        <f t="shared" si="22"/>
        <v>-0.16999999999999993</v>
      </c>
      <c r="I40" s="55">
        <v>4.67</v>
      </c>
      <c r="J40" s="56">
        <v>5</v>
      </c>
      <c r="K40" s="57">
        <f t="shared" si="23"/>
        <v>0.33000000000000007</v>
      </c>
      <c r="L40" s="58">
        <v>4.67</v>
      </c>
      <c r="M40" s="26">
        <v>4</v>
      </c>
      <c r="N40" s="59">
        <f t="shared" si="24"/>
        <v>-0.66999999999999993</v>
      </c>
      <c r="O40" s="55">
        <v>4.88</v>
      </c>
      <c r="P40" s="56">
        <v>5</v>
      </c>
      <c r="Q40" s="57">
        <f t="shared" si="25"/>
        <v>0.12000000000000011</v>
      </c>
      <c r="R40" s="58">
        <v>5</v>
      </c>
      <c r="S40" s="26">
        <v>5</v>
      </c>
      <c r="T40" s="59">
        <f t="shared" si="26"/>
        <v>0</v>
      </c>
      <c r="U40" s="55">
        <v>4.67</v>
      </c>
      <c r="V40" s="56">
        <v>5</v>
      </c>
      <c r="W40" s="57">
        <f t="shared" si="27"/>
        <v>0.33000000000000007</v>
      </c>
      <c r="X40" s="55">
        <f t="shared" si="20"/>
        <v>4.33</v>
      </c>
      <c r="Y40" s="56">
        <v>4</v>
      </c>
      <c r="Z40" s="57">
        <f t="shared" si="7"/>
        <v>-0.33000000000000007</v>
      </c>
      <c r="AA40" s="58">
        <f t="shared" si="8"/>
        <v>4.17</v>
      </c>
      <c r="AB40" s="26">
        <v>4</v>
      </c>
      <c r="AC40" s="59">
        <f t="shared" si="9"/>
        <v>-0.16999999999999993</v>
      </c>
      <c r="AD40" s="55">
        <f t="shared" si="10"/>
        <v>4.67</v>
      </c>
      <c r="AE40" s="56">
        <v>5</v>
      </c>
      <c r="AF40" s="57">
        <f t="shared" si="11"/>
        <v>0.33000000000000007</v>
      </c>
      <c r="AG40" s="58">
        <f t="shared" si="12"/>
        <v>4.67</v>
      </c>
      <c r="AH40" s="26">
        <v>5</v>
      </c>
      <c r="AI40" s="59">
        <f t="shared" si="13"/>
        <v>0.33000000000000007</v>
      </c>
      <c r="AJ40" s="55">
        <f t="shared" si="14"/>
        <v>4.88</v>
      </c>
      <c r="AK40" s="56">
        <v>5</v>
      </c>
      <c r="AL40" s="57">
        <f t="shared" si="15"/>
        <v>0.12000000000000011</v>
      </c>
      <c r="AM40" s="58">
        <f t="shared" si="16"/>
        <v>5</v>
      </c>
      <c r="AN40" s="26">
        <v>5</v>
      </c>
      <c r="AO40" s="59">
        <f t="shared" si="17"/>
        <v>0</v>
      </c>
      <c r="AP40" s="55">
        <f t="shared" si="18"/>
        <v>4.67</v>
      </c>
      <c r="AQ40" s="56">
        <v>5</v>
      </c>
      <c r="AR40" s="57">
        <f t="shared" si="19"/>
        <v>0.33000000000000007</v>
      </c>
    </row>
    <row r="41" spans="2:44" x14ac:dyDescent="0.2">
      <c r="B41" s="54">
        <v>0.72916666666666596</v>
      </c>
      <c r="C41" s="55">
        <v>4.33</v>
      </c>
      <c r="D41" s="56">
        <v>4</v>
      </c>
      <c r="E41" s="57">
        <f t="shared" si="21"/>
        <v>-0.33000000000000007</v>
      </c>
      <c r="F41" s="58">
        <v>4.17</v>
      </c>
      <c r="G41" s="26">
        <v>4</v>
      </c>
      <c r="H41" s="59">
        <f t="shared" si="22"/>
        <v>-0.16999999999999993</v>
      </c>
      <c r="I41" s="55">
        <v>4.67</v>
      </c>
      <c r="J41" s="56">
        <v>5</v>
      </c>
      <c r="K41" s="57">
        <f t="shared" si="23"/>
        <v>0.33000000000000007</v>
      </c>
      <c r="L41" s="58">
        <v>4.67</v>
      </c>
      <c r="M41" s="26">
        <v>4</v>
      </c>
      <c r="N41" s="59">
        <f t="shared" si="24"/>
        <v>-0.66999999999999993</v>
      </c>
      <c r="O41" s="55">
        <v>4.88</v>
      </c>
      <c r="P41" s="56">
        <v>5</v>
      </c>
      <c r="Q41" s="57">
        <f t="shared" si="25"/>
        <v>0.12000000000000011</v>
      </c>
      <c r="R41" s="58">
        <v>5</v>
      </c>
      <c r="S41" s="26">
        <v>5</v>
      </c>
      <c r="T41" s="59">
        <f t="shared" si="26"/>
        <v>0</v>
      </c>
      <c r="U41" s="55">
        <v>4.67</v>
      </c>
      <c r="V41" s="56">
        <v>5</v>
      </c>
      <c r="W41" s="57">
        <f t="shared" si="27"/>
        <v>0.33000000000000007</v>
      </c>
      <c r="X41" s="55">
        <f t="shared" si="20"/>
        <v>4.33</v>
      </c>
      <c r="Y41" s="56">
        <v>4</v>
      </c>
      <c r="Z41" s="57">
        <f t="shared" si="7"/>
        <v>-0.33000000000000007</v>
      </c>
      <c r="AA41" s="58">
        <f t="shared" si="8"/>
        <v>4.17</v>
      </c>
      <c r="AB41" s="26">
        <v>4</v>
      </c>
      <c r="AC41" s="59">
        <f t="shared" si="9"/>
        <v>-0.16999999999999993</v>
      </c>
      <c r="AD41" s="55">
        <f t="shared" si="10"/>
        <v>4.67</v>
      </c>
      <c r="AE41" s="56">
        <v>5</v>
      </c>
      <c r="AF41" s="57">
        <f t="shared" si="11"/>
        <v>0.33000000000000007</v>
      </c>
      <c r="AG41" s="58">
        <f t="shared" si="12"/>
        <v>4.67</v>
      </c>
      <c r="AH41" s="26">
        <v>5</v>
      </c>
      <c r="AI41" s="59">
        <f t="shared" si="13"/>
        <v>0.33000000000000007</v>
      </c>
      <c r="AJ41" s="55">
        <f t="shared" si="14"/>
        <v>4.88</v>
      </c>
      <c r="AK41" s="56">
        <v>5</v>
      </c>
      <c r="AL41" s="57">
        <f t="shared" si="15"/>
        <v>0.12000000000000011</v>
      </c>
      <c r="AM41" s="58">
        <f t="shared" si="16"/>
        <v>5</v>
      </c>
      <c r="AN41" s="26">
        <v>5</v>
      </c>
      <c r="AO41" s="59">
        <f t="shared" si="17"/>
        <v>0</v>
      </c>
      <c r="AP41" s="55">
        <f t="shared" si="18"/>
        <v>4.67</v>
      </c>
      <c r="AQ41" s="56">
        <v>5</v>
      </c>
      <c r="AR41" s="57">
        <f t="shared" si="19"/>
        <v>0.33000000000000007</v>
      </c>
    </row>
    <row r="42" spans="2:44" x14ac:dyDescent="0.2">
      <c r="B42" s="54">
        <v>0.75</v>
      </c>
      <c r="C42" s="55">
        <v>4.33</v>
      </c>
      <c r="D42" s="56">
        <v>4</v>
      </c>
      <c r="E42" s="57">
        <f t="shared" si="21"/>
        <v>-0.33000000000000007</v>
      </c>
      <c r="F42" s="58">
        <v>4.33</v>
      </c>
      <c r="G42" s="26">
        <v>4</v>
      </c>
      <c r="H42" s="59">
        <f t="shared" si="22"/>
        <v>-0.33000000000000007</v>
      </c>
      <c r="I42" s="55">
        <v>4.6100000000000003</v>
      </c>
      <c r="J42" s="56">
        <v>5</v>
      </c>
      <c r="K42" s="57">
        <f t="shared" si="23"/>
        <v>0.38999999999999968</v>
      </c>
      <c r="L42" s="58">
        <v>4.67</v>
      </c>
      <c r="M42" s="26">
        <v>4</v>
      </c>
      <c r="N42" s="59">
        <f t="shared" si="24"/>
        <v>-0.66999999999999993</v>
      </c>
      <c r="O42" s="55">
        <v>5</v>
      </c>
      <c r="P42" s="56">
        <v>5</v>
      </c>
      <c r="Q42" s="57">
        <f t="shared" si="25"/>
        <v>0</v>
      </c>
      <c r="R42" s="58">
        <v>5</v>
      </c>
      <c r="S42" s="26">
        <v>5</v>
      </c>
      <c r="T42" s="59">
        <f t="shared" si="26"/>
        <v>0</v>
      </c>
      <c r="U42" s="55">
        <v>4.92</v>
      </c>
      <c r="V42" s="56">
        <v>5</v>
      </c>
      <c r="W42" s="57">
        <f t="shared" si="27"/>
        <v>8.0000000000000071E-2</v>
      </c>
      <c r="X42" s="55">
        <f t="shared" si="20"/>
        <v>4.33</v>
      </c>
      <c r="Y42" s="56">
        <v>4</v>
      </c>
      <c r="Z42" s="57">
        <f t="shared" si="7"/>
        <v>-0.33000000000000007</v>
      </c>
      <c r="AA42" s="58">
        <f t="shared" si="8"/>
        <v>4.33</v>
      </c>
      <c r="AB42" s="26">
        <v>4</v>
      </c>
      <c r="AC42" s="59">
        <f t="shared" si="9"/>
        <v>-0.33000000000000007</v>
      </c>
      <c r="AD42" s="55">
        <f t="shared" si="10"/>
        <v>4.6100000000000003</v>
      </c>
      <c r="AE42" s="56">
        <v>5</v>
      </c>
      <c r="AF42" s="57">
        <f t="shared" si="11"/>
        <v>0.38999999999999968</v>
      </c>
      <c r="AG42" s="58">
        <f t="shared" si="12"/>
        <v>4.67</v>
      </c>
      <c r="AH42" s="26">
        <v>5</v>
      </c>
      <c r="AI42" s="59">
        <f t="shared" si="13"/>
        <v>0.33000000000000007</v>
      </c>
      <c r="AJ42" s="55">
        <f t="shared" si="14"/>
        <v>5</v>
      </c>
      <c r="AK42" s="56">
        <v>5</v>
      </c>
      <c r="AL42" s="57">
        <f t="shared" si="15"/>
        <v>0</v>
      </c>
      <c r="AM42" s="58">
        <f t="shared" si="16"/>
        <v>5</v>
      </c>
      <c r="AN42" s="26">
        <v>5</v>
      </c>
      <c r="AO42" s="59">
        <f t="shared" si="17"/>
        <v>0</v>
      </c>
      <c r="AP42" s="55">
        <f t="shared" si="18"/>
        <v>4.92</v>
      </c>
      <c r="AQ42" s="56">
        <v>5</v>
      </c>
      <c r="AR42" s="57">
        <f t="shared" si="19"/>
        <v>8.0000000000000071E-2</v>
      </c>
    </row>
    <row r="43" spans="2:44" x14ac:dyDescent="0.2">
      <c r="B43" s="54">
        <v>0.77083333333333304</v>
      </c>
      <c r="C43" s="55">
        <v>4.33</v>
      </c>
      <c r="D43" s="56">
        <v>4</v>
      </c>
      <c r="E43" s="57">
        <f t="shared" si="21"/>
        <v>-0.33000000000000007</v>
      </c>
      <c r="F43" s="58">
        <v>4.33</v>
      </c>
      <c r="G43" s="26">
        <v>4</v>
      </c>
      <c r="H43" s="59">
        <f t="shared" si="22"/>
        <v>-0.33000000000000007</v>
      </c>
      <c r="I43" s="55">
        <v>4.6100000000000003</v>
      </c>
      <c r="J43" s="56">
        <v>5</v>
      </c>
      <c r="K43" s="57">
        <f t="shared" si="23"/>
        <v>0.38999999999999968</v>
      </c>
      <c r="L43" s="58">
        <v>4.67</v>
      </c>
      <c r="M43" s="26">
        <v>4</v>
      </c>
      <c r="N43" s="59">
        <f t="shared" si="24"/>
        <v>-0.66999999999999993</v>
      </c>
      <c r="O43" s="55">
        <v>5</v>
      </c>
      <c r="P43" s="56">
        <v>5</v>
      </c>
      <c r="Q43" s="57">
        <f t="shared" si="25"/>
        <v>0</v>
      </c>
      <c r="R43" s="58">
        <v>5</v>
      </c>
      <c r="S43" s="26">
        <v>5</v>
      </c>
      <c r="T43" s="59">
        <f t="shared" si="26"/>
        <v>0</v>
      </c>
      <c r="U43" s="55">
        <v>4.92</v>
      </c>
      <c r="V43" s="56">
        <v>5</v>
      </c>
      <c r="W43" s="57">
        <f t="shared" si="27"/>
        <v>8.0000000000000071E-2</v>
      </c>
      <c r="X43" s="55">
        <f t="shared" si="20"/>
        <v>4.33</v>
      </c>
      <c r="Y43" s="56">
        <v>4</v>
      </c>
      <c r="Z43" s="57">
        <f t="shared" si="7"/>
        <v>-0.33000000000000007</v>
      </c>
      <c r="AA43" s="58">
        <f t="shared" si="8"/>
        <v>4.33</v>
      </c>
      <c r="AB43" s="26">
        <v>4</v>
      </c>
      <c r="AC43" s="59">
        <f t="shared" si="9"/>
        <v>-0.33000000000000007</v>
      </c>
      <c r="AD43" s="55">
        <f t="shared" si="10"/>
        <v>4.6100000000000003</v>
      </c>
      <c r="AE43" s="56">
        <v>5</v>
      </c>
      <c r="AF43" s="57">
        <f t="shared" si="11"/>
        <v>0.38999999999999968</v>
      </c>
      <c r="AG43" s="58">
        <f t="shared" si="12"/>
        <v>4.67</v>
      </c>
      <c r="AH43" s="26">
        <v>5</v>
      </c>
      <c r="AI43" s="59">
        <f t="shared" si="13"/>
        <v>0.33000000000000007</v>
      </c>
      <c r="AJ43" s="55">
        <f t="shared" si="14"/>
        <v>5</v>
      </c>
      <c r="AK43" s="56">
        <v>5</v>
      </c>
      <c r="AL43" s="57">
        <f t="shared" si="15"/>
        <v>0</v>
      </c>
      <c r="AM43" s="58">
        <f t="shared" si="16"/>
        <v>5</v>
      </c>
      <c r="AN43" s="26">
        <v>5</v>
      </c>
      <c r="AO43" s="59">
        <f t="shared" si="17"/>
        <v>0</v>
      </c>
      <c r="AP43" s="55">
        <f t="shared" si="18"/>
        <v>4.92</v>
      </c>
      <c r="AQ43" s="56">
        <v>5</v>
      </c>
      <c r="AR43" s="57">
        <f t="shared" si="19"/>
        <v>8.0000000000000071E-2</v>
      </c>
    </row>
    <row r="44" spans="2:44" x14ac:dyDescent="0.2">
      <c r="B44" s="54">
        <v>0.79166666666666596</v>
      </c>
      <c r="C44" s="55">
        <v>4.33</v>
      </c>
      <c r="D44" s="56">
        <v>5</v>
      </c>
      <c r="E44" s="57">
        <f t="shared" si="21"/>
        <v>0.66999999999999993</v>
      </c>
      <c r="F44" s="58">
        <v>4.12</v>
      </c>
      <c r="G44" s="26">
        <v>5</v>
      </c>
      <c r="H44" s="59">
        <f t="shared" si="22"/>
        <v>0.87999999999999989</v>
      </c>
      <c r="I44" s="55">
        <v>4.49</v>
      </c>
      <c r="J44" s="56">
        <v>5</v>
      </c>
      <c r="K44" s="57">
        <f t="shared" si="23"/>
        <v>0.50999999999999979</v>
      </c>
      <c r="L44" s="58">
        <v>4.67</v>
      </c>
      <c r="M44" s="26">
        <v>5</v>
      </c>
      <c r="N44" s="59">
        <f t="shared" si="24"/>
        <v>0.33000000000000007</v>
      </c>
      <c r="O44" s="55">
        <v>5</v>
      </c>
      <c r="P44" s="56">
        <v>5</v>
      </c>
      <c r="Q44" s="57">
        <f t="shared" si="25"/>
        <v>0</v>
      </c>
      <c r="R44" s="58">
        <v>5</v>
      </c>
      <c r="S44" s="26">
        <v>5</v>
      </c>
      <c r="T44" s="59">
        <f t="shared" si="26"/>
        <v>0</v>
      </c>
      <c r="U44" s="55">
        <v>4.9800000000000004</v>
      </c>
      <c r="V44" s="56">
        <v>5</v>
      </c>
      <c r="W44" s="57">
        <f t="shared" si="27"/>
        <v>1.9999999999999574E-2</v>
      </c>
      <c r="X44" s="55">
        <f t="shared" si="20"/>
        <v>4.33</v>
      </c>
      <c r="Y44" s="56">
        <v>5</v>
      </c>
      <c r="Z44" s="57">
        <f t="shared" si="7"/>
        <v>0.66999999999999993</v>
      </c>
      <c r="AA44" s="58">
        <f t="shared" si="8"/>
        <v>4.12</v>
      </c>
      <c r="AB44" s="26">
        <v>5</v>
      </c>
      <c r="AC44" s="59">
        <f t="shared" si="9"/>
        <v>0.87999999999999989</v>
      </c>
      <c r="AD44" s="55">
        <f t="shared" si="10"/>
        <v>4.49</v>
      </c>
      <c r="AE44" s="56">
        <v>5</v>
      </c>
      <c r="AF44" s="57">
        <f t="shared" si="11"/>
        <v>0.50999999999999979</v>
      </c>
      <c r="AG44" s="58">
        <f t="shared" si="12"/>
        <v>4.67</v>
      </c>
      <c r="AH44" s="26">
        <v>5</v>
      </c>
      <c r="AI44" s="59">
        <f t="shared" si="13"/>
        <v>0.33000000000000007</v>
      </c>
      <c r="AJ44" s="55">
        <f t="shared" si="14"/>
        <v>5</v>
      </c>
      <c r="AK44" s="56">
        <v>5</v>
      </c>
      <c r="AL44" s="57">
        <f t="shared" si="15"/>
        <v>0</v>
      </c>
      <c r="AM44" s="58">
        <f t="shared" si="16"/>
        <v>5</v>
      </c>
      <c r="AN44" s="26">
        <v>5</v>
      </c>
      <c r="AO44" s="59">
        <f t="shared" si="17"/>
        <v>0</v>
      </c>
      <c r="AP44" s="55">
        <f t="shared" si="18"/>
        <v>4.9800000000000004</v>
      </c>
      <c r="AQ44" s="56">
        <v>5</v>
      </c>
      <c r="AR44" s="57">
        <f t="shared" si="19"/>
        <v>1.9999999999999574E-2</v>
      </c>
    </row>
    <row r="45" spans="2:44" x14ac:dyDescent="0.2">
      <c r="B45" s="54">
        <v>0.8125</v>
      </c>
      <c r="C45" s="55">
        <v>4.33</v>
      </c>
      <c r="D45" s="56">
        <v>5</v>
      </c>
      <c r="E45" s="57">
        <f t="shared" si="21"/>
        <v>0.66999999999999993</v>
      </c>
      <c r="F45" s="58">
        <v>4.12</v>
      </c>
      <c r="G45" s="26">
        <v>5</v>
      </c>
      <c r="H45" s="59">
        <f t="shared" si="22"/>
        <v>0.87999999999999989</v>
      </c>
      <c r="I45" s="55">
        <v>4.49</v>
      </c>
      <c r="J45" s="56">
        <v>5</v>
      </c>
      <c r="K45" s="57">
        <f t="shared" si="23"/>
        <v>0.50999999999999979</v>
      </c>
      <c r="L45" s="58">
        <v>4.67</v>
      </c>
      <c r="M45" s="26">
        <v>5</v>
      </c>
      <c r="N45" s="59">
        <f t="shared" si="24"/>
        <v>0.33000000000000007</v>
      </c>
      <c r="O45" s="55">
        <v>5</v>
      </c>
      <c r="P45" s="56">
        <v>5</v>
      </c>
      <c r="Q45" s="57">
        <f t="shared" si="25"/>
        <v>0</v>
      </c>
      <c r="R45" s="58">
        <v>5</v>
      </c>
      <c r="S45" s="26">
        <v>5</v>
      </c>
      <c r="T45" s="59">
        <f t="shared" si="26"/>
        <v>0</v>
      </c>
      <c r="U45" s="55">
        <v>4.9800000000000004</v>
      </c>
      <c r="V45" s="56">
        <v>5</v>
      </c>
      <c r="W45" s="57">
        <f t="shared" si="27"/>
        <v>1.9999999999999574E-2</v>
      </c>
      <c r="X45" s="55">
        <f t="shared" si="20"/>
        <v>4.33</v>
      </c>
      <c r="Y45" s="56">
        <v>5</v>
      </c>
      <c r="Z45" s="57">
        <f t="shared" si="7"/>
        <v>0.66999999999999993</v>
      </c>
      <c r="AA45" s="58">
        <f t="shared" si="8"/>
        <v>4.12</v>
      </c>
      <c r="AB45" s="26">
        <v>5</v>
      </c>
      <c r="AC45" s="59">
        <f t="shared" si="9"/>
        <v>0.87999999999999989</v>
      </c>
      <c r="AD45" s="55">
        <f t="shared" si="10"/>
        <v>4.49</v>
      </c>
      <c r="AE45" s="56">
        <v>5</v>
      </c>
      <c r="AF45" s="57">
        <f t="shared" si="11"/>
        <v>0.50999999999999979</v>
      </c>
      <c r="AG45" s="58">
        <f t="shared" si="12"/>
        <v>4.67</v>
      </c>
      <c r="AH45" s="26">
        <v>5</v>
      </c>
      <c r="AI45" s="59">
        <f t="shared" si="13"/>
        <v>0.33000000000000007</v>
      </c>
      <c r="AJ45" s="55">
        <f t="shared" si="14"/>
        <v>5</v>
      </c>
      <c r="AK45" s="56">
        <v>5</v>
      </c>
      <c r="AL45" s="57">
        <f t="shared" si="15"/>
        <v>0</v>
      </c>
      <c r="AM45" s="58">
        <f t="shared" si="16"/>
        <v>5</v>
      </c>
      <c r="AN45" s="26">
        <v>5</v>
      </c>
      <c r="AO45" s="59">
        <f t="shared" si="17"/>
        <v>0</v>
      </c>
      <c r="AP45" s="55">
        <f t="shared" si="18"/>
        <v>4.9800000000000004</v>
      </c>
      <c r="AQ45" s="56">
        <v>5</v>
      </c>
      <c r="AR45" s="57">
        <f t="shared" si="19"/>
        <v>1.9999999999999574E-2</v>
      </c>
    </row>
    <row r="46" spans="2:44" x14ac:dyDescent="0.2">
      <c r="B46" s="54">
        <v>0.83333333333333304</v>
      </c>
      <c r="C46" s="55">
        <v>4.33</v>
      </c>
      <c r="D46" s="56">
        <v>5</v>
      </c>
      <c r="E46" s="57">
        <f t="shared" si="21"/>
        <v>0.66999999999999993</v>
      </c>
      <c r="F46" s="58">
        <v>4.2300000000000004</v>
      </c>
      <c r="G46" s="26">
        <v>5</v>
      </c>
      <c r="H46" s="59">
        <f t="shared" si="22"/>
        <v>0.76999999999999957</v>
      </c>
      <c r="I46" s="55">
        <v>4.67</v>
      </c>
      <c r="J46" s="56">
        <v>5</v>
      </c>
      <c r="K46" s="57">
        <f t="shared" si="23"/>
        <v>0.33000000000000007</v>
      </c>
      <c r="L46" s="58">
        <v>4.67</v>
      </c>
      <c r="M46" s="26">
        <v>5</v>
      </c>
      <c r="N46" s="59">
        <f t="shared" si="24"/>
        <v>0.33000000000000007</v>
      </c>
      <c r="O46" s="55">
        <v>5.04</v>
      </c>
      <c r="P46" s="56">
        <v>5</v>
      </c>
      <c r="Q46" s="57">
        <f t="shared" si="25"/>
        <v>-4.0000000000000036E-2</v>
      </c>
      <c r="R46" s="58">
        <v>5</v>
      </c>
      <c r="S46" s="26">
        <v>5</v>
      </c>
      <c r="T46" s="59">
        <f t="shared" si="26"/>
        <v>0</v>
      </c>
      <c r="U46" s="55">
        <v>5</v>
      </c>
      <c r="V46" s="56">
        <v>5</v>
      </c>
      <c r="W46" s="57">
        <f t="shared" si="27"/>
        <v>0</v>
      </c>
      <c r="X46" s="55">
        <f t="shared" si="20"/>
        <v>4.33</v>
      </c>
      <c r="Y46" s="56">
        <v>5</v>
      </c>
      <c r="Z46" s="57">
        <f t="shared" si="7"/>
        <v>0.66999999999999993</v>
      </c>
      <c r="AA46" s="58">
        <f t="shared" si="8"/>
        <v>4.2300000000000004</v>
      </c>
      <c r="AB46" s="26">
        <v>5</v>
      </c>
      <c r="AC46" s="59">
        <f t="shared" si="9"/>
        <v>0.76999999999999957</v>
      </c>
      <c r="AD46" s="55">
        <f t="shared" si="10"/>
        <v>4.67</v>
      </c>
      <c r="AE46" s="56">
        <v>5</v>
      </c>
      <c r="AF46" s="57">
        <f t="shared" si="11"/>
        <v>0.33000000000000007</v>
      </c>
      <c r="AG46" s="58">
        <f t="shared" si="12"/>
        <v>4.67</v>
      </c>
      <c r="AH46" s="26">
        <v>5</v>
      </c>
      <c r="AI46" s="59">
        <f t="shared" si="13"/>
        <v>0.33000000000000007</v>
      </c>
      <c r="AJ46" s="55">
        <f t="shared" si="14"/>
        <v>5.04</v>
      </c>
      <c r="AK46" s="56">
        <v>5</v>
      </c>
      <c r="AL46" s="57">
        <f t="shared" si="15"/>
        <v>-4.0000000000000036E-2</v>
      </c>
      <c r="AM46" s="58">
        <f t="shared" si="16"/>
        <v>5</v>
      </c>
      <c r="AN46" s="26">
        <v>5</v>
      </c>
      <c r="AO46" s="59">
        <f t="shared" si="17"/>
        <v>0</v>
      </c>
      <c r="AP46" s="55">
        <f t="shared" si="18"/>
        <v>5</v>
      </c>
      <c r="AQ46" s="56">
        <v>5</v>
      </c>
      <c r="AR46" s="57">
        <f t="shared" si="19"/>
        <v>0</v>
      </c>
    </row>
    <row r="47" spans="2:44" x14ac:dyDescent="0.2">
      <c r="B47" s="54">
        <v>0.85416666666666596</v>
      </c>
      <c r="C47" s="55">
        <v>4.33</v>
      </c>
      <c r="D47" s="56">
        <v>5</v>
      </c>
      <c r="E47" s="57">
        <f t="shared" si="21"/>
        <v>0.66999999999999993</v>
      </c>
      <c r="F47" s="58">
        <v>4.2300000000000004</v>
      </c>
      <c r="G47" s="26">
        <v>5</v>
      </c>
      <c r="H47" s="59">
        <f t="shared" si="22"/>
        <v>0.76999999999999957</v>
      </c>
      <c r="I47" s="55">
        <v>4.67</v>
      </c>
      <c r="J47" s="56">
        <v>5</v>
      </c>
      <c r="K47" s="57">
        <f t="shared" si="23"/>
        <v>0.33000000000000007</v>
      </c>
      <c r="L47" s="58">
        <v>4.67</v>
      </c>
      <c r="M47" s="26">
        <v>5</v>
      </c>
      <c r="N47" s="59">
        <f t="shared" si="24"/>
        <v>0.33000000000000007</v>
      </c>
      <c r="O47" s="55">
        <v>5.04</v>
      </c>
      <c r="P47" s="56">
        <v>5</v>
      </c>
      <c r="Q47" s="57">
        <f t="shared" si="25"/>
        <v>-4.0000000000000036E-2</v>
      </c>
      <c r="R47" s="58">
        <v>5</v>
      </c>
      <c r="S47" s="26">
        <v>5</v>
      </c>
      <c r="T47" s="59">
        <f t="shared" si="26"/>
        <v>0</v>
      </c>
      <c r="U47" s="55">
        <v>5</v>
      </c>
      <c r="V47" s="56">
        <v>5</v>
      </c>
      <c r="W47" s="57">
        <f t="shared" si="27"/>
        <v>0</v>
      </c>
      <c r="X47" s="55">
        <f t="shared" si="20"/>
        <v>4.33</v>
      </c>
      <c r="Y47" s="56">
        <v>5</v>
      </c>
      <c r="Z47" s="57">
        <f t="shared" si="7"/>
        <v>0.66999999999999993</v>
      </c>
      <c r="AA47" s="58">
        <f t="shared" si="8"/>
        <v>4.2300000000000004</v>
      </c>
      <c r="AB47" s="26">
        <v>5</v>
      </c>
      <c r="AC47" s="59">
        <f t="shared" si="9"/>
        <v>0.76999999999999957</v>
      </c>
      <c r="AD47" s="55">
        <f t="shared" si="10"/>
        <v>4.67</v>
      </c>
      <c r="AE47" s="56">
        <v>5</v>
      </c>
      <c r="AF47" s="57">
        <f t="shared" si="11"/>
        <v>0.33000000000000007</v>
      </c>
      <c r="AG47" s="58">
        <f t="shared" si="12"/>
        <v>4.67</v>
      </c>
      <c r="AH47" s="26">
        <v>5</v>
      </c>
      <c r="AI47" s="59">
        <f t="shared" si="13"/>
        <v>0.33000000000000007</v>
      </c>
      <c r="AJ47" s="55">
        <f t="shared" si="14"/>
        <v>5.04</v>
      </c>
      <c r="AK47" s="56">
        <v>5</v>
      </c>
      <c r="AL47" s="57">
        <f t="shared" si="15"/>
        <v>-4.0000000000000036E-2</v>
      </c>
      <c r="AM47" s="58">
        <f t="shared" si="16"/>
        <v>5</v>
      </c>
      <c r="AN47" s="26">
        <v>5</v>
      </c>
      <c r="AO47" s="59">
        <f t="shared" si="17"/>
        <v>0</v>
      </c>
      <c r="AP47" s="55">
        <f t="shared" si="18"/>
        <v>5</v>
      </c>
      <c r="AQ47" s="56">
        <v>5</v>
      </c>
      <c r="AR47" s="57">
        <f t="shared" si="19"/>
        <v>0</v>
      </c>
    </row>
    <row r="48" spans="2:44" x14ac:dyDescent="0.2">
      <c r="B48" s="54">
        <v>0.875</v>
      </c>
      <c r="C48" s="55">
        <v>4.33</v>
      </c>
      <c r="D48" s="56">
        <v>5</v>
      </c>
      <c r="E48" s="57">
        <f t="shared" si="21"/>
        <v>0.66999999999999993</v>
      </c>
      <c r="F48" s="58">
        <v>4.33</v>
      </c>
      <c r="G48" s="26">
        <v>5</v>
      </c>
      <c r="H48" s="59">
        <f t="shared" si="22"/>
        <v>0.66999999999999993</v>
      </c>
      <c r="I48" s="55">
        <v>4.67</v>
      </c>
      <c r="J48" s="56">
        <v>5</v>
      </c>
      <c r="K48" s="57">
        <f t="shared" si="23"/>
        <v>0.33000000000000007</v>
      </c>
      <c r="L48" s="58">
        <v>4.68</v>
      </c>
      <c r="M48" s="26">
        <v>5</v>
      </c>
      <c r="N48" s="59">
        <f t="shared" si="24"/>
        <v>0.32000000000000028</v>
      </c>
      <c r="O48" s="55">
        <v>5.18</v>
      </c>
      <c r="P48" s="56">
        <v>5</v>
      </c>
      <c r="Q48" s="57">
        <f t="shared" si="25"/>
        <v>-0.17999999999999972</v>
      </c>
      <c r="R48" s="58">
        <v>5</v>
      </c>
      <c r="S48" s="26">
        <v>5</v>
      </c>
      <c r="T48" s="59">
        <f t="shared" si="26"/>
        <v>0</v>
      </c>
      <c r="U48" s="55">
        <v>4.8899999999999997</v>
      </c>
      <c r="V48" s="56">
        <v>5</v>
      </c>
      <c r="W48" s="57">
        <f t="shared" si="27"/>
        <v>0.11000000000000032</v>
      </c>
      <c r="X48" s="55">
        <f t="shared" si="20"/>
        <v>4.33</v>
      </c>
      <c r="Y48" s="56">
        <v>5</v>
      </c>
      <c r="Z48" s="57">
        <f t="shared" si="7"/>
        <v>0.66999999999999993</v>
      </c>
      <c r="AA48" s="58">
        <f t="shared" si="8"/>
        <v>4.33</v>
      </c>
      <c r="AB48" s="26">
        <v>5</v>
      </c>
      <c r="AC48" s="59">
        <f t="shared" si="9"/>
        <v>0.66999999999999993</v>
      </c>
      <c r="AD48" s="55">
        <f t="shared" si="10"/>
        <v>4.67</v>
      </c>
      <c r="AE48" s="56">
        <v>5</v>
      </c>
      <c r="AF48" s="57">
        <f t="shared" si="11"/>
        <v>0.33000000000000007</v>
      </c>
      <c r="AG48" s="58">
        <f t="shared" si="12"/>
        <v>4.68</v>
      </c>
      <c r="AH48" s="26">
        <v>5</v>
      </c>
      <c r="AI48" s="59">
        <f t="shared" si="13"/>
        <v>0.32000000000000028</v>
      </c>
      <c r="AJ48" s="55">
        <f t="shared" si="14"/>
        <v>5.18</v>
      </c>
      <c r="AK48" s="56">
        <v>5</v>
      </c>
      <c r="AL48" s="57">
        <f t="shared" si="15"/>
        <v>-0.17999999999999972</v>
      </c>
      <c r="AM48" s="58">
        <f t="shared" si="16"/>
        <v>5</v>
      </c>
      <c r="AN48" s="26">
        <v>5</v>
      </c>
      <c r="AO48" s="59">
        <f t="shared" si="17"/>
        <v>0</v>
      </c>
      <c r="AP48" s="55">
        <f t="shared" si="18"/>
        <v>4.8899999999999997</v>
      </c>
      <c r="AQ48" s="56">
        <v>5</v>
      </c>
      <c r="AR48" s="57">
        <f t="shared" si="19"/>
        <v>0.11000000000000032</v>
      </c>
    </row>
    <row r="49" spans="2:44" x14ac:dyDescent="0.2">
      <c r="B49" s="54">
        <v>0.89583333333333304</v>
      </c>
      <c r="C49" s="55">
        <v>4.33</v>
      </c>
      <c r="D49" s="56">
        <v>5</v>
      </c>
      <c r="E49" s="57">
        <f t="shared" si="21"/>
        <v>0.66999999999999993</v>
      </c>
      <c r="F49" s="58">
        <v>4.33</v>
      </c>
      <c r="G49" s="26">
        <v>5</v>
      </c>
      <c r="H49" s="59">
        <f t="shared" si="22"/>
        <v>0.66999999999999993</v>
      </c>
      <c r="I49" s="55">
        <v>4.67</v>
      </c>
      <c r="J49" s="56">
        <v>5</v>
      </c>
      <c r="K49" s="57">
        <f t="shared" si="23"/>
        <v>0.33000000000000007</v>
      </c>
      <c r="L49" s="58">
        <v>4.68</v>
      </c>
      <c r="M49" s="26">
        <v>5</v>
      </c>
      <c r="N49" s="59">
        <f t="shared" si="24"/>
        <v>0.32000000000000028</v>
      </c>
      <c r="O49" s="55">
        <v>5.18</v>
      </c>
      <c r="P49" s="56">
        <v>5</v>
      </c>
      <c r="Q49" s="57">
        <f t="shared" si="25"/>
        <v>-0.17999999999999972</v>
      </c>
      <c r="R49" s="58">
        <v>5</v>
      </c>
      <c r="S49" s="26">
        <v>5</v>
      </c>
      <c r="T49" s="59">
        <f t="shared" si="26"/>
        <v>0</v>
      </c>
      <c r="U49" s="55">
        <v>4.8899999999999997</v>
      </c>
      <c r="V49" s="56">
        <v>5</v>
      </c>
      <c r="W49" s="57">
        <f t="shared" si="27"/>
        <v>0.11000000000000032</v>
      </c>
      <c r="X49" s="55">
        <f t="shared" si="20"/>
        <v>4.33</v>
      </c>
      <c r="Y49" s="56">
        <v>5</v>
      </c>
      <c r="Z49" s="57">
        <f t="shared" si="7"/>
        <v>0.66999999999999993</v>
      </c>
      <c r="AA49" s="58">
        <f t="shared" si="8"/>
        <v>4.33</v>
      </c>
      <c r="AB49" s="26">
        <v>5</v>
      </c>
      <c r="AC49" s="59">
        <f t="shared" si="9"/>
        <v>0.66999999999999993</v>
      </c>
      <c r="AD49" s="55">
        <f t="shared" si="10"/>
        <v>4.67</v>
      </c>
      <c r="AE49" s="56">
        <v>5</v>
      </c>
      <c r="AF49" s="57">
        <f t="shared" si="11"/>
        <v>0.33000000000000007</v>
      </c>
      <c r="AG49" s="58">
        <f t="shared" si="12"/>
        <v>4.68</v>
      </c>
      <c r="AH49" s="26">
        <v>5</v>
      </c>
      <c r="AI49" s="59">
        <f t="shared" si="13"/>
        <v>0.32000000000000028</v>
      </c>
      <c r="AJ49" s="55">
        <f t="shared" si="14"/>
        <v>5.18</v>
      </c>
      <c r="AK49" s="56">
        <v>5</v>
      </c>
      <c r="AL49" s="57">
        <f t="shared" si="15"/>
        <v>-0.17999999999999972</v>
      </c>
      <c r="AM49" s="58">
        <f t="shared" si="16"/>
        <v>5</v>
      </c>
      <c r="AN49" s="26">
        <v>5</v>
      </c>
      <c r="AO49" s="59">
        <f t="shared" si="17"/>
        <v>0</v>
      </c>
      <c r="AP49" s="55">
        <f t="shared" si="18"/>
        <v>4.8899999999999997</v>
      </c>
      <c r="AQ49" s="56">
        <v>5</v>
      </c>
      <c r="AR49" s="57">
        <f t="shared" si="19"/>
        <v>0.11000000000000032</v>
      </c>
    </row>
    <row r="50" spans="2:44" x14ac:dyDescent="0.2">
      <c r="B50" s="54">
        <v>0.91666666666666596</v>
      </c>
      <c r="C50" s="55">
        <v>4.34</v>
      </c>
      <c r="D50" s="56">
        <v>5</v>
      </c>
      <c r="E50" s="57">
        <f t="shared" si="21"/>
        <v>0.66000000000000014</v>
      </c>
      <c r="F50" s="58">
        <v>4.33</v>
      </c>
      <c r="G50" s="26">
        <v>5</v>
      </c>
      <c r="H50" s="59">
        <f t="shared" si="22"/>
        <v>0.66999999999999993</v>
      </c>
      <c r="I50" s="55">
        <v>4.67</v>
      </c>
      <c r="J50" s="56">
        <v>5</v>
      </c>
      <c r="K50" s="57">
        <f t="shared" si="23"/>
        <v>0.33000000000000007</v>
      </c>
      <c r="L50" s="58">
        <v>4.82</v>
      </c>
      <c r="M50" s="26">
        <v>5</v>
      </c>
      <c r="N50" s="59">
        <f t="shared" si="24"/>
        <v>0.17999999999999972</v>
      </c>
      <c r="O50" s="55">
        <v>5.33</v>
      </c>
      <c r="P50" s="56">
        <v>5</v>
      </c>
      <c r="Q50" s="57">
        <f t="shared" si="25"/>
        <v>-0.33000000000000007</v>
      </c>
      <c r="R50" s="58">
        <v>5</v>
      </c>
      <c r="S50" s="26">
        <v>5</v>
      </c>
      <c r="T50" s="59">
        <f t="shared" si="26"/>
        <v>0</v>
      </c>
      <c r="U50" s="55">
        <v>4.9000000000000004</v>
      </c>
      <c r="V50" s="56">
        <v>5</v>
      </c>
      <c r="W50" s="57">
        <f t="shared" si="27"/>
        <v>9.9999999999999645E-2</v>
      </c>
      <c r="X50" s="55">
        <f t="shared" si="20"/>
        <v>4.34</v>
      </c>
      <c r="Y50" s="56">
        <v>5</v>
      </c>
      <c r="Z50" s="57">
        <f t="shared" si="7"/>
        <v>0.66000000000000014</v>
      </c>
      <c r="AA50" s="58">
        <f t="shared" si="8"/>
        <v>4.33</v>
      </c>
      <c r="AB50" s="26">
        <v>5</v>
      </c>
      <c r="AC50" s="59">
        <f t="shared" si="9"/>
        <v>0.66999999999999993</v>
      </c>
      <c r="AD50" s="55">
        <f t="shared" si="10"/>
        <v>4.67</v>
      </c>
      <c r="AE50" s="56">
        <v>5</v>
      </c>
      <c r="AF50" s="57">
        <f t="shared" si="11"/>
        <v>0.33000000000000007</v>
      </c>
      <c r="AG50" s="58">
        <f t="shared" si="12"/>
        <v>4.82</v>
      </c>
      <c r="AH50" s="26">
        <v>5</v>
      </c>
      <c r="AI50" s="59">
        <f t="shared" si="13"/>
        <v>0.17999999999999972</v>
      </c>
      <c r="AJ50" s="55">
        <f t="shared" si="14"/>
        <v>5.33</v>
      </c>
      <c r="AK50" s="56">
        <v>5</v>
      </c>
      <c r="AL50" s="57">
        <f t="shared" si="15"/>
        <v>-0.33000000000000007</v>
      </c>
      <c r="AM50" s="58">
        <f t="shared" si="16"/>
        <v>5</v>
      </c>
      <c r="AN50" s="26">
        <v>5</v>
      </c>
      <c r="AO50" s="59">
        <f t="shared" si="17"/>
        <v>0</v>
      </c>
      <c r="AP50" s="55">
        <f t="shared" si="18"/>
        <v>4.9000000000000004</v>
      </c>
      <c r="AQ50" s="56">
        <v>5</v>
      </c>
      <c r="AR50" s="57">
        <f t="shared" si="19"/>
        <v>9.9999999999999645E-2</v>
      </c>
    </row>
    <row r="51" spans="2:44" x14ac:dyDescent="0.2">
      <c r="B51" s="54">
        <v>0.9375</v>
      </c>
      <c r="C51" s="55">
        <v>4.34</v>
      </c>
      <c r="D51" s="56">
        <v>5</v>
      </c>
      <c r="E51" s="57">
        <f t="shared" si="21"/>
        <v>0.66000000000000014</v>
      </c>
      <c r="F51" s="58">
        <v>4.33</v>
      </c>
      <c r="G51" s="26">
        <v>5</v>
      </c>
      <c r="H51" s="59">
        <f t="shared" si="22"/>
        <v>0.66999999999999993</v>
      </c>
      <c r="I51" s="55">
        <v>4.67</v>
      </c>
      <c r="J51" s="56">
        <v>5</v>
      </c>
      <c r="K51" s="57">
        <f t="shared" si="23"/>
        <v>0.33000000000000007</v>
      </c>
      <c r="L51" s="58">
        <v>4.82</v>
      </c>
      <c r="M51" s="26">
        <v>5</v>
      </c>
      <c r="N51" s="59">
        <f t="shared" si="24"/>
        <v>0.17999999999999972</v>
      </c>
      <c r="O51" s="55">
        <v>5.33</v>
      </c>
      <c r="P51" s="56">
        <v>5</v>
      </c>
      <c r="Q51" s="57">
        <f t="shared" si="25"/>
        <v>-0.33000000000000007</v>
      </c>
      <c r="R51" s="58">
        <v>5</v>
      </c>
      <c r="S51" s="26">
        <v>5</v>
      </c>
      <c r="T51" s="59">
        <f t="shared" si="26"/>
        <v>0</v>
      </c>
      <c r="U51" s="55">
        <v>4.9000000000000004</v>
      </c>
      <c r="V51" s="56">
        <v>5</v>
      </c>
      <c r="W51" s="57">
        <f t="shared" si="27"/>
        <v>9.9999999999999645E-2</v>
      </c>
      <c r="X51" s="55">
        <f t="shared" si="20"/>
        <v>4.34</v>
      </c>
      <c r="Y51" s="56">
        <v>5</v>
      </c>
      <c r="Z51" s="57">
        <f t="shared" si="7"/>
        <v>0.66000000000000014</v>
      </c>
      <c r="AA51" s="58">
        <f t="shared" si="8"/>
        <v>4.33</v>
      </c>
      <c r="AB51" s="26">
        <v>5</v>
      </c>
      <c r="AC51" s="59">
        <f t="shared" si="9"/>
        <v>0.66999999999999993</v>
      </c>
      <c r="AD51" s="55">
        <f t="shared" si="10"/>
        <v>4.67</v>
      </c>
      <c r="AE51" s="56">
        <v>5</v>
      </c>
      <c r="AF51" s="57">
        <f t="shared" si="11"/>
        <v>0.33000000000000007</v>
      </c>
      <c r="AG51" s="58">
        <f t="shared" si="12"/>
        <v>4.82</v>
      </c>
      <c r="AH51" s="26">
        <v>5</v>
      </c>
      <c r="AI51" s="59">
        <f t="shared" si="13"/>
        <v>0.17999999999999972</v>
      </c>
      <c r="AJ51" s="55">
        <f t="shared" si="14"/>
        <v>5.33</v>
      </c>
      <c r="AK51" s="56">
        <v>5</v>
      </c>
      <c r="AL51" s="57">
        <f t="shared" si="15"/>
        <v>-0.33000000000000007</v>
      </c>
      <c r="AM51" s="58">
        <f t="shared" si="16"/>
        <v>5</v>
      </c>
      <c r="AN51" s="26">
        <v>5</v>
      </c>
      <c r="AO51" s="59">
        <f t="shared" si="17"/>
        <v>0</v>
      </c>
      <c r="AP51" s="55">
        <f t="shared" si="18"/>
        <v>4.9000000000000004</v>
      </c>
      <c r="AQ51" s="56">
        <v>5</v>
      </c>
      <c r="AR51" s="57">
        <f t="shared" si="19"/>
        <v>9.9999999999999645E-2</v>
      </c>
    </row>
    <row r="52" spans="2:44" x14ac:dyDescent="0.2">
      <c r="B52" s="54">
        <v>0.95833333333333304</v>
      </c>
      <c r="C52" s="55">
        <v>4.34</v>
      </c>
      <c r="D52" s="56">
        <v>5</v>
      </c>
      <c r="E52" s="57">
        <f t="shared" si="21"/>
        <v>0.66000000000000014</v>
      </c>
      <c r="F52" s="58">
        <v>4.2699999999999996</v>
      </c>
      <c r="G52" s="26">
        <v>5</v>
      </c>
      <c r="H52" s="59">
        <f t="shared" si="22"/>
        <v>0.73000000000000043</v>
      </c>
      <c r="I52" s="55">
        <v>4.67</v>
      </c>
      <c r="J52" s="56">
        <v>5</v>
      </c>
      <c r="K52" s="57">
        <f t="shared" si="23"/>
        <v>0.33000000000000007</v>
      </c>
      <c r="L52" s="58">
        <v>5</v>
      </c>
      <c r="M52" s="26">
        <v>5</v>
      </c>
      <c r="N52" s="59">
        <f t="shared" si="24"/>
        <v>0</v>
      </c>
      <c r="O52" s="55">
        <v>5.3</v>
      </c>
      <c r="P52" s="56">
        <v>5</v>
      </c>
      <c r="Q52" s="57">
        <f t="shared" si="25"/>
        <v>-0.29999999999999982</v>
      </c>
      <c r="R52" s="58">
        <v>5</v>
      </c>
      <c r="S52" s="26">
        <v>5</v>
      </c>
      <c r="T52" s="59">
        <f t="shared" si="26"/>
        <v>0</v>
      </c>
      <c r="U52" s="55">
        <v>5.01</v>
      </c>
      <c r="V52" s="56">
        <v>5</v>
      </c>
      <c r="W52" s="57">
        <f t="shared" si="27"/>
        <v>-9.9999999999997868E-3</v>
      </c>
      <c r="X52" s="55">
        <f t="shared" si="20"/>
        <v>4.34</v>
      </c>
      <c r="Y52" s="56">
        <v>5</v>
      </c>
      <c r="Z52" s="57">
        <f t="shared" si="7"/>
        <v>0.66000000000000014</v>
      </c>
      <c r="AA52" s="58">
        <f t="shared" si="8"/>
        <v>4.2699999999999996</v>
      </c>
      <c r="AB52" s="26">
        <v>5</v>
      </c>
      <c r="AC52" s="59">
        <f t="shared" si="9"/>
        <v>0.73000000000000043</v>
      </c>
      <c r="AD52" s="55">
        <f t="shared" si="10"/>
        <v>4.67</v>
      </c>
      <c r="AE52" s="56">
        <v>5</v>
      </c>
      <c r="AF52" s="57">
        <f t="shared" si="11"/>
        <v>0.33000000000000007</v>
      </c>
      <c r="AG52" s="58">
        <f t="shared" si="12"/>
        <v>5</v>
      </c>
      <c r="AH52" s="26">
        <v>5</v>
      </c>
      <c r="AI52" s="59">
        <f t="shared" si="13"/>
        <v>0</v>
      </c>
      <c r="AJ52" s="55">
        <f t="shared" si="14"/>
        <v>5.3</v>
      </c>
      <c r="AK52" s="56">
        <v>5</v>
      </c>
      <c r="AL52" s="57">
        <f t="shared" si="15"/>
        <v>-0.29999999999999982</v>
      </c>
      <c r="AM52" s="58">
        <f t="shared" si="16"/>
        <v>5</v>
      </c>
      <c r="AN52" s="26">
        <v>5</v>
      </c>
      <c r="AO52" s="59">
        <f t="shared" si="17"/>
        <v>0</v>
      </c>
      <c r="AP52" s="55">
        <f t="shared" si="18"/>
        <v>5.01</v>
      </c>
      <c r="AQ52" s="56">
        <v>5</v>
      </c>
      <c r="AR52" s="57">
        <f t="shared" si="19"/>
        <v>-9.9999999999997868E-3</v>
      </c>
    </row>
    <row r="53" spans="2:44" ht="13.5" thickBot="1" x14ac:dyDescent="0.25">
      <c r="B53" s="60">
        <v>0.97916666666666596</v>
      </c>
      <c r="C53" s="61">
        <v>4.34</v>
      </c>
      <c r="D53" s="62">
        <v>5</v>
      </c>
      <c r="E53" s="63">
        <f t="shared" si="21"/>
        <v>0.66000000000000014</v>
      </c>
      <c r="F53" s="64">
        <v>4.2699999999999996</v>
      </c>
      <c r="G53" s="65">
        <v>5</v>
      </c>
      <c r="H53" s="66">
        <f t="shared" si="22"/>
        <v>0.73000000000000043</v>
      </c>
      <c r="I53" s="67">
        <v>4.67</v>
      </c>
      <c r="J53" s="62">
        <v>5</v>
      </c>
      <c r="K53" s="63">
        <f t="shared" si="23"/>
        <v>0.33000000000000007</v>
      </c>
      <c r="L53" s="64">
        <v>5</v>
      </c>
      <c r="M53" s="65">
        <v>5</v>
      </c>
      <c r="N53" s="66">
        <f t="shared" si="24"/>
        <v>0</v>
      </c>
      <c r="O53" s="67">
        <v>5.3</v>
      </c>
      <c r="P53" s="62">
        <v>5</v>
      </c>
      <c r="Q53" s="63">
        <f t="shared" si="25"/>
        <v>-0.29999999999999982</v>
      </c>
      <c r="R53" s="64">
        <v>5</v>
      </c>
      <c r="S53" s="65">
        <v>5</v>
      </c>
      <c r="T53" s="66">
        <f t="shared" si="26"/>
        <v>0</v>
      </c>
      <c r="U53" s="67">
        <v>5.01</v>
      </c>
      <c r="V53" s="62">
        <v>5</v>
      </c>
      <c r="W53" s="63">
        <f t="shared" si="27"/>
        <v>-9.9999999999997868E-3</v>
      </c>
      <c r="X53" s="61">
        <f t="shared" si="20"/>
        <v>4.34</v>
      </c>
      <c r="Y53" s="62">
        <v>5</v>
      </c>
      <c r="Z53" s="63">
        <f t="shared" si="7"/>
        <v>0.66000000000000014</v>
      </c>
      <c r="AA53" s="64">
        <f t="shared" si="8"/>
        <v>4.2699999999999996</v>
      </c>
      <c r="AB53" s="65">
        <v>5</v>
      </c>
      <c r="AC53" s="66">
        <f t="shared" si="9"/>
        <v>0.73000000000000043</v>
      </c>
      <c r="AD53" s="67">
        <f t="shared" si="10"/>
        <v>4.67</v>
      </c>
      <c r="AE53" s="62">
        <v>5</v>
      </c>
      <c r="AF53" s="63">
        <f t="shared" si="11"/>
        <v>0.33000000000000007</v>
      </c>
      <c r="AG53" s="64">
        <f t="shared" si="12"/>
        <v>5</v>
      </c>
      <c r="AH53" s="65">
        <v>5</v>
      </c>
      <c r="AI53" s="66">
        <f t="shared" si="13"/>
        <v>0</v>
      </c>
      <c r="AJ53" s="67">
        <f t="shared" si="14"/>
        <v>5.3</v>
      </c>
      <c r="AK53" s="62">
        <v>5</v>
      </c>
      <c r="AL53" s="63">
        <f t="shared" si="15"/>
        <v>-0.29999999999999982</v>
      </c>
      <c r="AM53" s="64">
        <f t="shared" si="16"/>
        <v>5</v>
      </c>
      <c r="AN53" s="65">
        <v>5</v>
      </c>
      <c r="AO53" s="66">
        <f t="shared" si="17"/>
        <v>0</v>
      </c>
      <c r="AP53" s="67">
        <f t="shared" si="18"/>
        <v>5.01</v>
      </c>
      <c r="AQ53" s="62">
        <v>5</v>
      </c>
      <c r="AR53" s="63">
        <f t="shared" si="19"/>
        <v>-9.9999999999997868E-3</v>
      </c>
    </row>
    <row r="54" spans="2:44" ht="13.5" thickBot="1" x14ac:dyDescent="0.25">
      <c r="B54" s="68" t="s">
        <v>48</v>
      </c>
      <c r="C54" s="61">
        <f>SUM(C6:C53)</f>
        <v>233.58000000000015</v>
      </c>
      <c r="D54" s="62">
        <f>SUM(D6:D53)</f>
        <v>232</v>
      </c>
      <c r="E54" s="63">
        <f t="shared" si="21"/>
        <v>-1.5800000000001546</v>
      </c>
      <c r="F54" s="64">
        <f>SUM(F6:F53)</f>
        <v>221.84000000000009</v>
      </c>
      <c r="G54" s="65">
        <f>SUM(G6:G53)</f>
        <v>224</v>
      </c>
      <c r="H54" s="66">
        <f t="shared" si="22"/>
        <v>2.1599999999999113</v>
      </c>
      <c r="I54" s="67">
        <f>SUM(I6:I53)</f>
        <v>229.33999999999986</v>
      </c>
      <c r="J54" s="62">
        <f>SUM(J6:J53)</f>
        <v>232</v>
      </c>
      <c r="K54" s="63">
        <f t="shared" si="23"/>
        <v>2.6600000000001387</v>
      </c>
      <c r="L54" s="64">
        <f>SUM(L6:L53)</f>
        <v>234.7399999999999</v>
      </c>
      <c r="M54" s="65">
        <f>SUM(M6:M53)</f>
        <v>224</v>
      </c>
      <c r="N54" s="66">
        <f t="shared" si="24"/>
        <v>-10.739999999999895</v>
      </c>
      <c r="O54" s="67">
        <f>SUM(O6:O53)</f>
        <v>247.02000000000004</v>
      </c>
      <c r="P54" s="62">
        <f>SUM(P6:P53)</f>
        <v>240</v>
      </c>
      <c r="Q54" s="63">
        <f t="shared" si="25"/>
        <v>-7.0200000000000387</v>
      </c>
      <c r="R54" s="64">
        <f>SUM(R6:R53)</f>
        <v>255.76000000000008</v>
      </c>
      <c r="S54" s="65">
        <f>SUM(S6:S53)</f>
        <v>248</v>
      </c>
      <c r="T54" s="66">
        <f t="shared" si="26"/>
        <v>-7.7600000000000762</v>
      </c>
      <c r="U54" s="67">
        <f>SUM(U6:U53)</f>
        <v>246.63999999999984</v>
      </c>
      <c r="V54" s="62">
        <f>SUM(V6:V53)</f>
        <v>240</v>
      </c>
      <c r="W54" s="63">
        <f t="shared" si="27"/>
        <v>-6.6399999999998442</v>
      </c>
      <c r="X54" s="61">
        <f>SUM(X6:X53)</f>
        <v>233.58000000000015</v>
      </c>
      <c r="Y54" s="62">
        <f>SUM(Y6:Y53)</f>
        <v>224</v>
      </c>
      <c r="Z54" s="63">
        <f t="shared" si="7"/>
        <v>-9.5800000000001546</v>
      </c>
      <c r="AA54" s="64">
        <f>SUM(AA6:AA53)</f>
        <v>221.84000000000009</v>
      </c>
      <c r="AB54" s="65">
        <f>SUM(AB6:AB53)</f>
        <v>232</v>
      </c>
      <c r="AC54" s="66">
        <f t="shared" si="9"/>
        <v>10.159999999999911</v>
      </c>
      <c r="AD54" s="67">
        <f>SUM(AD6:AD53)</f>
        <v>229.33999999999986</v>
      </c>
      <c r="AE54" s="62">
        <f>SUM(AE6:AE53)</f>
        <v>232</v>
      </c>
      <c r="AF54" s="63">
        <f t="shared" si="11"/>
        <v>2.6600000000001387</v>
      </c>
      <c r="AG54" s="64">
        <f>SUM(AG6:AG53)</f>
        <v>234.7399999999999</v>
      </c>
      <c r="AH54" s="65">
        <f>SUM(AH6:AH53)</f>
        <v>240</v>
      </c>
      <c r="AI54" s="66">
        <f t="shared" si="13"/>
        <v>5.2600000000001046</v>
      </c>
      <c r="AJ54" s="67">
        <f>SUM(AJ6:AJ53)</f>
        <v>247.02000000000004</v>
      </c>
      <c r="AK54" s="62">
        <f>SUM(AK6:AK53)</f>
        <v>232</v>
      </c>
      <c r="AL54" s="63">
        <f t="shared" si="15"/>
        <v>-15.020000000000039</v>
      </c>
      <c r="AM54" s="64">
        <f>SUM(AM6:AM53)</f>
        <v>255.76000000000008</v>
      </c>
      <c r="AN54" s="65">
        <f>SUM(AN6:AN53)</f>
        <v>256</v>
      </c>
      <c r="AO54" s="66">
        <f t="shared" si="17"/>
        <v>0.23999999999992383</v>
      </c>
      <c r="AP54" s="67">
        <f>SUM(AP6:AP53)</f>
        <v>246.63999999999984</v>
      </c>
      <c r="AQ54" s="62">
        <f>SUM(AQ6:AQ53)</f>
        <v>240</v>
      </c>
      <c r="AR54" s="63">
        <f t="shared" si="19"/>
        <v>-6.6399999999998442</v>
      </c>
    </row>
    <row r="55" spans="2:44" ht="13.5" thickBot="1" x14ac:dyDescent="0.25"/>
    <row r="56" spans="2:44" ht="13.5" thickBot="1" x14ac:dyDescent="0.25">
      <c r="S56" s="69" t="s">
        <v>49</v>
      </c>
      <c r="U56" s="70">
        <f>U54+R54+O54+L54+I54+F54+C54</f>
        <v>1668.92</v>
      </c>
      <c r="V56" s="71">
        <f>V54+S54+P54+M54+J54+G54+D54</f>
        <v>1640</v>
      </c>
      <c r="W56" s="72">
        <f>V56-U56</f>
        <v>-28.920000000000073</v>
      </c>
      <c r="AN56" s="69" t="s">
        <v>49</v>
      </c>
      <c r="AP56" s="70">
        <f>AP54+AM54+AJ54+AG54+AD54+AA54+X54</f>
        <v>1668.92</v>
      </c>
      <c r="AQ56" s="71">
        <f>AQ54+AN54+AK54+AH54+AE54+AB54+Y54</f>
        <v>1656</v>
      </c>
      <c r="AR56" s="72">
        <f>AQ56-AP56</f>
        <v>-12.920000000000073</v>
      </c>
    </row>
    <row r="57" spans="2:44" ht="13.5" thickBot="1" x14ac:dyDescent="0.25">
      <c r="S57" s="69" t="s">
        <v>50</v>
      </c>
      <c r="W57" s="73">
        <f>U56/V56</f>
        <v>1.0176341463414635</v>
      </c>
      <c r="AN57" s="69" t="s">
        <v>50</v>
      </c>
      <c r="AR57" s="73">
        <f>AP56/AQ56</f>
        <v>1.0078019323671499</v>
      </c>
    </row>
  </sheetData>
  <phoneticPr fontId="16" type="noConversion"/>
  <conditionalFormatting sqref="Q6:Q54 H6:H54 K6:K54 N6:N54 E8:E54 T6:T54 W6:W54 W56 AL6:AL54 AC6:AC54 AF6:AF54 AI6:AI54 Z8:Z54 AO6:AO54 AR6:AR54 AR56">
    <cfRule type="cellIs" dxfId="1" priority="1" stopIfTrue="1" operator="lessThan">
      <formula>0</formula>
    </cfRule>
  </conditionalFormatting>
  <printOptions horizontalCentered="1"/>
  <pageMargins left="0.5" right="0.5" top="0.59" bottom="0.43" header="0.28000000000000003" footer="0.24"/>
  <pageSetup scale="71"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B1:AR239"/>
  <sheetViews>
    <sheetView zoomScale="75" workbookViewId="0">
      <selection activeCell="AC43" sqref="AC43"/>
    </sheetView>
  </sheetViews>
  <sheetFormatPr defaultColWidth="8" defaultRowHeight="12.75" x14ac:dyDescent="0.2"/>
  <cols>
    <col min="1" max="1" width="8" style="2" customWidth="1"/>
    <col min="2" max="2" width="9" style="2" customWidth="1"/>
    <col min="3" max="4" width="8" style="2" customWidth="1"/>
    <col min="5" max="5" width="5" style="2" customWidth="1"/>
    <col min="6" max="7" width="8" style="2" customWidth="1"/>
    <col min="8" max="8" width="5" style="2" customWidth="1"/>
    <col min="9" max="10" width="8" style="2" customWidth="1"/>
    <col min="11" max="11" width="5" style="2" customWidth="1"/>
    <col min="12" max="13" width="8" style="2" customWidth="1"/>
    <col min="14" max="14" width="5" style="2" customWidth="1"/>
    <col min="15" max="16" width="8" style="2" customWidth="1"/>
    <col min="17" max="17" width="5" style="2" customWidth="1"/>
    <col min="18" max="19" width="8" style="2" customWidth="1"/>
    <col min="20" max="20" width="5" style="2" customWidth="1"/>
    <col min="21" max="22" width="8" style="2" customWidth="1"/>
    <col min="23" max="23" width="5.7109375" style="2" customWidth="1"/>
    <col min="24" max="16384" width="8" style="2"/>
  </cols>
  <sheetData>
    <row r="1" spans="2:44" ht="18.75" x14ac:dyDescent="0.3">
      <c r="B1" s="32"/>
      <c r="C1" s="33" t="s">
        <v>44</v>
      </c>
      <c r="E1" s="33" t="str">
        <f>Coverage!E1</f>
        <v>Unit 1, Scenario 1</v>
      </c>
      <c r="G1" s="33"/>
    </row>
    <row r="2" spans="2:44" x14ac:dyDescent="0.2">
      <c r="B2" s="32"/>
      <c r="U2" s="69" t="str">
        <f>Coverage!U2</f>
        <v>Week:</v>
      </c>
      <c r="V2" s="131">
        <f>Coverage!V2</f>
        <v>1</v>
      </c>
    </row>
    <row r="3" spans="2:44" ht="13.5" thickBot="1" x14ac:dyDescent="0.25">
      <c r="B3" s="32"/>
    </row>
    <row r="4" spans="2:44" x14ac:dyDescent="0.2">
      <c r="B4" s="32"/>
      <c r="C4" s="34" t="s">
        <v>74</v>
      </c>
      <c r="D4" s="35"/>
      <c r="E4" s="36"/>
      <c r="F4" s="37" t="s">
        <v>76</v>
      </c>
      <c r="G4" s="37"/>
      <c r="H4" s="38"/>
      <c r="I4" s="35" t="s">
        <v>77</v>
      </c>
      <c r="J4" s="35"/>
      <c r="K4" s="36"/>
      <c r="L4" s="37" t="s">
        <v>78</v>
      </c>
      <c r="M4" s="37"/>
      <c r="N4" s="38"/>
      <c r="O4" s="35" t="s">
        <v>79</v>
      </c>
      <c r="P4" s="35"/>
      <c r="Q4" s="36"/>
      <c r="R4" s="37" t="s">
        <v>80</v>
      </c>
      <c r="S4" s="37"/>
      <c r="T4" s="38"/>
      <c r="U4" s="35" t="s">
        <v>81</v>
      </c>
      <c r="V4" s="35"/>
      <c r="W4" s="36"/>
      <c r="X4" s="34" t="s">
        <v>87</v>
      </c>
      <c r="Y4" s="35"/>
      <c r="Z4" s="36"/>
      <c r="AA4" s="37" t="s">
        <v>75</v>
      </c>
      <c r="AB4" s="37"/>
      <c r="AC4" s="38"/>
      <c r="AD4" s="35" t="s">
        <v>82</v>
      </c>
      <c r="AE4" s="35"/>
      <c r="AF4" s="36"/>
      <c r="AG4" s="37" t="s">
        <v>83</v>
      </c>
      <c r="AH4" s="37"/>
      <c r="AI4" s="38"/>
      <c r="AJ4" s="35" t="s">
        <v>84</v>
      </c>
      <c r="AK4" s="35"/>
      <c r="AL4" s="36"/>
      <c r="AM4" s="37" t="s">
        <v>85</v>
      </c>
      <c r="AN4" s="37"/>
      <c r="AO4" s="38"/>
      <c r="AP4" s="35" t="s">
        <v>86</v>
      </c>
      <c r="AQ4" s="35"/>
      <c r="AR4" s="36"/>
    </row>
    <row r="5" spans="2:44" ht="13.5" thickBot="1" x14ac:dyDescent="0.25">
      <c r="B5" s="39"/>
      <c r="C5" s="40" t="s">
        <v>45</v>
      </c>
      <c r="D5" s="41" t="s">
        <v>46</v>
      </c>
      <c r="E5" s="42" t="s">
        <v>47</v>
      </c>
      <c r="F5" s="43" t="s">
        <v>45</v>
      </c>
      <c r="G5" s="44" t="s">
        <v>46</v>
      </c>
      <c r="H5" s="45" t="s">
        <v>47</v>
      </c>
      <c r="I5" s="46" t="s">
        <v>45</v>
      </c>
      <c r="J5" s="41" t="s">
        <v>46</v>
      </c>
      <c r="K5" s="42" t="s">
        <v>47</v>
      </c>
      <c r="L5" s="43" t="s">
        <v>45</v>
      </c>
      <c r="M5" s="44" t="s">
        <v>46</v>
      </c>
      <c r="N5" s="45" t="s">
        <v>47</v>
      </c>
      <c r="O5" s="46" t="s">
        <v>45</v>
      </c>
      <c r="P5" s="41" t="s">
        <v>46</v>
      </c>
      <c r="Q5" s="42" t="s">
        <v>47</v>
      </c>
      <c r="R5" s="43" t="s">
        <v>45</v>
      </c>
      <c r="S5" s="44" t="s">
        <v>46</v>
      </c>
      <c r="T5" s="45" t="s">
        <v>47</v>
      </c>
      <c r="U5" s="46" t="s">
        <v>45</v>
      </c>
      <c r="V5" s="41" t="s">
        <v>46</v>
      </c>
      <c r="W5" s="42" t="s">
        <v>47</v>
      </c>
      <c r="X5" s="40" t="s">
        <v>45</v>
      </c>
      <c r="Y5" s="41" t="s">
        <v>46</v>
      </c>
      <c r="Z5" s="42" t="s">
        <v>47</v>
      </c>
      <c r="AA5" s="43" t="s">
        <v>45</v>
      </c>
      <c r="AB5" s="44" t="s">
        <v>46</v>
      </c>
      <c r="AC5" s="45" t="s">
        <v>47</v>
      </c>
      <c r="AD5" s="46" t="s">
        <v>45</v>
      </c>
      <c r="AE5" s="41" t="s">
        <v>46</v>
      </c>
      <c r="AF5" s="42" t="s">
        <v>47</v>
      </c>
      <c r="AG5" s="43" t="s">
        <v>45</v>
      </c>
      <c r="AH5" s="44" t="s">
        <v>46</v>
      </c>
      <c r="AI5" s="45" t="s">
        <v>47</v>
      </c>
      <c r="AJ5" s="46" t="s">
        <v>45</v>
      </c>
      <c r="AK5" s="41" t="s">
        <v>46</v>
      </c>
      <c r="AL5" s="42" t="s">
        <v>47</v>
      </c>
      <c r="AM5" s="43" t="s">
        <v>45</v>
      </c>
      <c r="AN5" s="44" t="s">
        <v>46</v>
      </c>
      <c r="AO5" s="45" t="s">
        <v>47</v>
      </c>
      <c r="AP5" s="46" t="s">
        <v>45</v>
      </c>
      <c r="AQ5" s="41" t="s">
        <v>46</v>
      </c>
      <c r="AR5" s="42" t="s">
        <v>47</v>
      </c>
    </row>
    <row r="6" spans="2:44" x14ac:dyDescent="0.2">
      <c r="B6" s="47">
        <v>0</v>
      </c>
      <c r="C6" s="48">
        <f>VLOOKUP($B6,Coverage!$B$6:$V$53,C$35)</f>
        <v>5.12</v>
      </c>
      <c r="D6" s="49">
        <f>VLOOKUP($B6,Coverage!$B$6:$V$53,D$35)</f>
        <v>5</v>
      </c>
      <c r="E6" s="175">
        <f t="shared" ref="E6:E30" si="0">D6-C6</f>
        <v>-0.12000000000000011</v>
      </c>
      <c r="F6" s="51">
        <f>VLOOKUP($B6,Coverage!$B$6:$V$53,F$35)</f>
        <v>4.66</v>
      </c>
      <c r="G6" s="52">
        <f>VLOOKUP($B6,Coverage!$B$6:$V$53,G$35)</f>
        <v>5</v>
      </c>
      <c r="H6" s="177">
        <f t="shared" ref="H6:H30" si="1">G6-F6</f>
        <v>0.33999999999999986</v>
      </c>
      <c r="I6" s="48">
        <f>VLOOKUP($B6,Coverage!$B$6:$V$53,I$35)</f>
        <v>4.3899999999999997</v>
      </c>
      <c r="J6" s="49">
        <f>VLOOKUP($B6,Coverage!$B$6:$V$53,J$35)</f>
        <v>5</v>
      </c>
      <c r="K6" s="175">
        <f t="shared" ref="K6:K30" si="2">J6-I6</f>
        <v>0.61000000000000032</v>
      </c>
      <c r="L6" s="51">
        <f>VLOOKUP($B6,Coverage!$B$6:$V$53,L$35)</f>
        <v>4.75</v>
      </c>
      <c r="M6" s="52">
        <f>VLOOKUP($B6,Coverage!$B$6:$V$53,M$35)</f>
        <v>5</v>
      </c>
      <c r="N6" s="177">
        <f t="shared" ref="N6:N30" si="3">M6-L6</f>
        <v>0.25</v>
      </c>
      <c r="O6" s="48">
        <f>VLOOKUP($B6,Coverage!$B$6:$V$53,O$35)</f>
        <v>5</v>
      </c>
      <c r="P6" s="49">
        <f>VLOOKUP($B6,Coverage!$B$6:$V$53,P$35)</f>
        <v>5</v>
      </c>
      <c r="Q6" s="175">
        <f t="shared" ref="Q6:Q30" si="4">P6-O6</f>
        <v>0</v>
      </c>
      <c r="R6" s="51">
        <f>VLOOKUP($B6,Coverage!$B$6:$V$53,R$35)</f>
        <v>5.32</v>
      </c>
      <c r="S6" s="52">
        <f>VLOOKUP($B6,Coverage!$B$6:$V$53,S$35)</f>
        <v>5</v>
      </c>
      <c r="T6" s="177">
        <f t="shared" ref="T6:T30" si="5">S6-R6</f>
        <v>-0.32000000000000028</v>
      </c>
      <c r="U6" s="48">
        <f>VLOOKUP($B6,Coverage!$B$6:$V$53,U$35)</f>
        <v>5</v>
      </c>
      <c r="V6" s="49">
        <f>VLOOKUP($B6,Coverage!$B$6:$V$53,V$35)</f>
        <v>5</v>
      </c>
      <c r="W6" s="175">
        <f t="shared" ref="W6:W30" si="6">V6-U6</f>
        <v>0</v>
      </c>
      <c r="X6" s="48">
        <f>VLOOKUP($B6,Coverage!$B$6:$AQ$53,X$35)</f>
        <v>5.12</v>
      </c>
      <c r="Y6" s="49">
        <f>VLOOKUP($B6,Coverage!$B$6:$AQ$53,Y$35)</f>
        <v>5</v>
      </c>
      <c r="Z6" s="175">
        <f t="shared" ref="Z6:Z30" si="7">Y6-X6</f>
        <v>-0.12000000000000011</v>
      </c>
      <c r="AA6" s="51">
        <f>VLOOKUP($B6,Coverage!$B$6:$AQ$53,AA$35)</f>
        <v>4.66</v>
      </c>
      <c r="AB6" s="52">
        <f>VLOOKUP($B6,Coverage!$B$6:$AQ$53,AB$35)</f>
        <v>5</v>
      </c>
      <c r="AC6" s="177">
        <f t="shared" ref="AC6:AC30" si="8">AB6-AA6</f>
        <v>0.33999999999999986</v>
      </c>
      <c r="AD6" s="48">
        <f>VLOOKUP($B6,Coverage!$B$6:$AQ$53,AD$35)</f>
        <v>4.3899999999999997</v>
      </c>
      <c r="AE6" s="49">
        <f>VLOOKUP($B6,Coverage!$B$6:$AQ$53,AE$35)</f>
        <v>5</v>
      </c>
      <c r="AF6" s="175">
        <f t="shared" ref="AF6:AF30" si="9">AE6-AD6</f>
        <v>0.61000000000000032</v>
      </c>
      <c r="AG6" s="51">
        <f>VLOOKUP($B6,Coverage!$B$6:$AQ$53,AG$35)</f>
        <v>4.75</v>
      </c>
      <c r="AH6" s="52">
        <f>VLOOKUP($B6,Coverage!$B$6:$AQ$53,AH$35)</f>
        <v>5</v>
      </c>
      <c r="AI6" s="177">
        <f t="shared" ref="AI6:AI30" si="10">AH6-AG6</f>
        <v>0.25</v>
      </c>
      <c r="AJ6" s="48">
        <f>VLOOKUP($B6,Coverage!$B$6:$AQ$53,AJ$35)</f>
        <v>5</v>
      </c>
      <c r="AK6" s="49">
        <f>VLOOKUP($B6,Coverage!$B$6:$AQ$53,AK$35)</f>
        <v>5</v>
      </c>
      <c r="AL6" s="175">
        <f t="shared" ref="AL6:AL30" si="11">AK6-AJ6</f>
        <v>0</v>
      </c>
      <c r="AM6" s="51">
        <f>VLOOKUP($B6,Coverage!$B$6:$AQ$53,AM$35)</f>
        <v>5.32</v>
      </c>
      <c r="AN6" s="52">
        <f>VLOOKUP($B6,Coverage!$B$6:$AQ$53,AN$35)</f>
        <v>5</v>
      </c>
      <c r="AO6" s="177">
        <f t="shared" ref="AO6:AO30" si="12">AN6-AM6</f>
        <v>-0.32000000000000028</v>
      </c>
      <c r="AP6" s="48">
        <f>VLOOKUP($B6,Coverage!$B$6:$AQ$53,AP$35)</f>
        <v>5</v>
      </c>
      <c r="AQ6" s="49">
        <f>VLOOKUP($B6,Coverage!$B$6:$AQ$53,AQ$35)</f>
        <v>5</v>
      </c>
      <c r="AR6" s="175">
        <f t="shared" ref="AR6:AR30" si="13">AQ6-AP6</f>
        <v>0</v>
      </c>
    </row>
    <row r="7" spans="2:44" x14ac:dyDescent="0.2">
      <c r="B7" s="54">
        <v>4.1666666666666664E-2</v>
      </c>
      <c r="C7" s="48">
        <f>VLOOKUP($B7,Coverage!$B$6:$V$53,C$35)</f>
        <v>5.19</v>
      </c>
      <c r="D7" s="49">
        <f>VLOOKUP($B7,Coverage!$B$6:$V$53,D$35)</f>
        <v>5</v>
      </c>
      <c r="E7" s="176">
        <f t="shared" si="0"/>
        <v>-0.19000000000000039</v>
      </c>
      <c r="F7" s="58">
        <f>VLOOKUP($B7,Coverage!$B$6:$V$53,F$35)</f>
        <v>4.67</v>
      </c>
      <c r="G7" s="26">
        <f>VLOOKUP($B7,Coverage!$B$6:$V$53,G$35)</f>
        <v>5</v>
      </c>
      <c r="H7" s="178">
        <f t="shared" si="1"/>
        <v>0.33000000000000007</v>
      </c>
      <c r="I7" s="55">
        <f>VLOOKUP($B7,Coverage!$B$6:$V$53,I$35)</f>
        <v>4.67</v>
      </c>
      <c r="J7" s="56">
        <f>VLOOKUP($B7,Coverage!$B$6:$V$53,J$35)</f>
        <v>5</v>
      </c>
      <c r="K7" s="176">
        <f t="shared" si="2"/>
        <v>0.33000000000000007</v>
      </c>
      <c r="L7" s="58">
        <f>VLOOKUP($B7,Coverage!$B$6:$V$53,L$35)</f>
        <v>4.67</v>
      </c>
      <c r="M7" s="26">
        <f>VLOOKUP($B7,Coverage!$B$6:$V$53,M$35)</f>
        <v>5</v>
      </c>
      <c r="N7" s="178">
        <f t="shared" si="3"/>
        <v>0.33000000000000007</v>
      </c>
      <c r="O7" s="55">
        <f>VLOOKUP($B7,Coverage!$B$6:$V$53,O$35)</f>
        <v>5.0599999999999996</v>
      </c>
      <c r="P7" s="56">
        <f>VLOOKUP($B7,Coverage!$B$6:$V$53,P$35)</f>
        <v>5</v>
      </c>
      <c r="Q7" s="176">
        <f t="shared" si="4"/>
        <v>-5.9999999999999609E-2</v>
      </c>
      <c r="R7" s="58">
        <f>VLOOKUP($B7,Coverage!$B$6:$V$53,R$35)</f>
        <v>5.33</v>
      </c>
      <c r="S7" s="26">
        <f>VLOOKUP($B7,Coverage!$B$6:$V$53,S$35)</f>
        <v>5</v>
      </c>
      <c r="T7" s="178">
        <f t="shared" si="5"/>
        <v>-0.33000000000000007</v>
      </c>
      <c r="U7" s="55">
        <f>VLOOKUP($B7,Coverage!$B$6:$V$53,U$35)</f>
        <v>5.13</v>
      </c>
      <c r="V7" s="56">
        <f>VLOOKUP($B7,Coverage!$B$6:$V$53,V$35)</f>
        <v>5</v>
      </c>
      <c r="W7" s="176">
        <f t="shared" si="6"/>
        <v>-0.12999999999999989</v>
      </c>
      <c r="X7" s="48">
        <f>VLOOKUP($B7,Coverage!$B$6:$AQ$53,X$35)</f>
        <v>5.19</v>
      </c>
      <c r="Y7" s="49">
        <f>VLOOKUP($B7,Coverage!$B$6:$AQ$53,Y$35)</f>
        <v>5</v>
      </c>
      <c r="Z7" s="176">
        <f t="shared" si="7"/>
        <v>-0.19000000000000039</v>
      </c>
      <c r="AA7" s="58">
        <f>VLOOKUP($B7,Coverage!$B$6:$AQ$53,AA$35)</f>
        <v>4.67</v>
      </c>
      <c r="AB7" s="26">
        <f>VLOOKUP($B7,Coverage!$B$6:$AQ$53,AB$35)</f>
        <v>5</v>
      </c>
      <c r="AC7" s="178">
        <f t="shared" si="8"/>
        <v>0.33000000000000007</v>
      </c>
      <c r="AD7" s="55">
        <f>VLOOKUP($B7,Coverage!$B$6:$AQ$53,AD$35)</f>
        <v>4.67</v>
      </c>
      <c r="AE7" s="56">
        <f>VLOOKUP($B7,Coverage!$B$6:$AQ$53,AE$35)</f>
        <v>5</v>
      </c>
      <c r="AF7" s="176">
        <f t="shared" si="9"/>
        <v>0.33000000000000007</v>
      </c>
      <c r="AG7" s="58">
        <f>VLOOKUP($B7,Coverage!$B$6:$AQ$53,AG$35)</f>
        <v>4.67</v>
      </c>
      <c r="AH7" s="26">
        <f>VLOOKUP($B7,Coverage!$B$6:$AQ$53,AH$35)</f>
        <v>5</v>
      </c>
      <c r="AI7" s="178">
        <f t="shared" si="10"/>
        <v>0.33000000000000007</v>
      </c>
      <c r="AJ7" s="55">
        <f>VLOOKUP($B7,Coverage!$B$6:$AQ$53,AJ$35)</f>
        <v>5.0599999999999996</v>
      </c>
      <c r="AK7" s="56">
        <f>VLOOKUP($B7,Coverage!$B$6:$AQ$53,AK$35)</f>
        <v>5</v>
      </c>
      <c r="AL7" s="176">
        <f t="shared" si="11"/>
        <v>-5.9999999999999609E-2</v>
      </c>
      <c r="AM7" s="58">
        <f>VLOOKUP($B7,Coverage!$B$6:$AQ$53,AM$35)</f>
        <v>5.33</v>
      </c>
      <c r="AN7" s="26">
        <f>VLOOKUP($B7,Coverage!$B$6:$AQ$53,AN$35)</f>
        <v>5</v>
      </c>
      <c r="AO7" s="178">
        <f t="shared" si="12"/>
        <v>-0.33000000000000007</v>
      </c>
      <c r="AP7" s="55">
        <f>VLOOKUP($B7,Coverage!$B$6:$AQ$53,AP$35)</f>
        <v>5.13</v>
      </c>
      <c r="AQ7" s="56">
        <f>VLOOKUP($B7,Coverage!$B$6:$AQ$53,AQ$35)</f>
        <v>5</v>
      </c>
      <c r="AR7" s="176">
        <f t="shared" si="13"/>
        <v>-0.12999999999999989</v>
      </c>
    </row>
    <row r="8" spans="2:44" x14ac:dyDescent="0.2">
      <c r="B8" s="54">
        <v>8.3333333333333301E-2</v>
      </c>
      <c r="C8" s="48">
        <f>VLOOKUP($B8,Coverage!$B$6:$V$53,C$35)</f>
        <v>5.33</v>
      </c>
      <c r="D8" s="49">
        <f>VLOOKUP($B8,Coverage!$B$6:$V$53,D$35)</f>
        <v>5</v>
      </c>
      <c r="E8" s="176">
        <f t="shared" si="0"/>
        <v>-0.33000000000000007</v>
      </c>
      <c r="F8" s="58">
        <f>VLOOKUP($B8,Coverage!$B$6:$V$53,F$35)</f>
        <v>4.67</v>
      </c>
      <c r="G8" s="26">
        <f>VLOOKUP($B8,Coverage!$B$6:$V$53,G$35)</f>
        <v>5</v>
      </c>
      <c r="H8" s="178">
        <f t="shared" si="1"/>
        <v>0.33000000000000007</v>
      </c>
      <c r="I8" s="55">
        <f>VLOOKUP($B8,Coverage!$B$6:$V$53,I$35)</f>
        <v>4.67</v>
      </c>
      <c r="J8" s="56">
        <f>VLOOKUP($B8,Coverage!$B$6:$V$53,J$35)</f>
        <v>5</v>
      </c>
      <c r="K8" s="176">
        <f t="shared" si="2"/>
        <v>0.33000000000000007</v>
      </c>
      <c r="L8" s="58">
        <f>VLOOKUP($B8,Coverage!$B$6:$V$53,L$35)</f>
        <v>4.96</v>
      </c>
      <c r="M8" s="26">
        <f>VLOOKUP($B8,Coverage!$B$6:$V$53,M$35)</f>
        <v>5</v>
      </c>
      <c r="N8" s="178">
        <f t="shared" si="3"/>
        <v>4.0000000000000036E-2</v>
      </c>
      <c r="O8" s="55">
        <f>VLOOKUP($B8,Coverage!$B$6:$V$53,O$35)</f>
        <v>5.12</v>
      </c>
      <c r="P8" s="56">
        <f>VLOOKUP($B8,Coverage!$B$6:$V$53,P$35)</f>
        <v>5</v>
      </c>
      <c r="Q8" s="176">
        <f t="shared" si="4"/>
        <v>-0.12000000000000011</v>
      </c>
      <c r="R8" s="58">
        <f>VLOOKUP($B8,Coverage!$B$6:$V$53,R$35)</f>
        <v>5.35</v>
      </c>
      <c r="S8" s="26">
        <f>VLOOKUP($B8,Coverage!$B$6:$V$53,S$35)</f>
        <v>5</v>
      </c>
      <c r="T8" s="178">
        <f t="shared" si="5"/>
        <v>-0.34999999999999964</v>
      </c>
      <c r="U8" s="55">
        <f>VLOOKUP($B8,Coverage!$B$6:$V$53,U$35)</f>
        <v>5.33</v>
      </c>
      <c r="V8" s="56">
        <f>VLOOKUP($B8,Coverage!$B$6:$V$53,V$35)</f>
        <v>5</v>
      </c>
      <c r="W8" s="176">
        <f t="shared" si="6"/>
        <v>-0.33000000000000007</v>
      </c>
      <c r="X8" s="48">
        <f>VLOOKUP($B8,Coverage!$B$6:$AQ$53,X$35)</f>
        <v>5.33</v>
      </c>
      <c r="Y8" s="49">
        <f>VLOOKUP($B8,Coverage!$B$6:$AQ$53,Y$35)</f>
        <v>5</v>
      </c>
      <c r="Z8" s="176">
        <f t="shared" si="7"/>
        <v>-0.33000000000000007</v>
      </c>
      <c r="AA8" s="58">
        <f>VLOOKUP($B8,Coverage!$B$6:$AQ$53,AA$35)</f>
        <v>4.67</v>
      </c>
      <c r="AB8" s="26">
        <f>VLOOKUP($B8,Coverage!$B$6:$AQ$53,AB$35)</f>
        <v>5</v>
      </c>
      <c r="AC8" s="178">
        <f t="shared" si="8"/>
        <v>0.33000000000000007</v>
      </c>
      <c r="AD8" s="55">
        <f>VLOOKUP($B8,Coverage!$B$6:$AQ$53,AD$35)</f>
        <v>4.67</v>
      </c>
      <c r="AE8" s="56">
        <f>VLOOKUP($B8,Coverage!$B$6:$AQ$53,AE$35)</f>
        <v>5</v>
      </c>
      <c r="AF8" s="176">
        <f t="shared" si="9"/>
        <v>0.33000000000000007</v>
      </c>
      <c r="AG8" s="58">
        <f>VLOOKUP($B8,Coverage!$B$6:$AQ$53,AG$35)</f>
        <v>4.96</v>
      </c>
      <c r="AH8" s="26">
        <f>VLOOKUP($B8,Coverage!$B$6:$AQ$53,AH$35)</f>
        <v>5</v>
      </c>
      <c r="AI8" s="178">
        <f t="shared" si="10"/>
        <v>4.0000000000000036E-2</v>
      </c>
      <c r="AJ8" s="55">
        <f>VLOOKUP($B8,Coverage!$B$6:$AQ$53,AJ$35)</f>
        <v>5.12</v>
      </c>
      <c r="AK8" s="56">
        <f>VLOOKUP($B8,Coverage!$B$6:$AQ$53,AK$35)</f>
        <v>5</v>
      </c>
      <c r="AL8" s="176">
        <f t="shared" si="11"/>
        <v>-0.12000000000000011</v>
      </c>
      <c r="AM8" s="58">
        <f>VLOOKUP($B8,Coverage!$B$6:$AQ$53,AM$35)</f>
        <v>5.35</v>
      </c>
      <c r="AN8" s="26">
        <f>VLOOKUP($B8,Coverage!$B$6:$AQ$53,AN$35)</f>
        <v>5</v>
      </c>
      <c r="AO8" s="178">
        <f t="shared" si="12"/>
        <v>-0.34999999999999964</v>
      </c>
      <c r="AP8" s="55">
        <f>VLOOKUP($B8,Coverage!$B$6:$AQ$53,AP$35)</f>
        <v>5.33</v>
      </c>
      <c r="AQ8" s="56">
        <f>VLOOKUP($B8,Coverage!$B$6:$AQ$53,AQ$35)</f>
        <v>5</v>
      </c>
      <c r="AR8" s="176">
        <f t="shared" si="13"/>
        <v>-0.33000000000000007</v>
      </c>
    </row>
    <row r="9" spans="2:44" x14ac:dyDescent="0.2">
      <c r="B9" s="54">
        <v>0.125</v>
      </c>
      <c r="C9" s="48">
        <f>VLOOKUP($B9,Coverage!$B$6:$V$53,C$35)</f>
        <v>5.33</v>
      </c>
      <c r="D9" s="49">
        <f>VLOOKUP($B9,Coverage!$B$6:$V$53,D$35)</f>
        <v>5</v>
      </c>
      <c r="E9" s="176">
        <f t="shared" si="0"/>
        <v>-0.33000000000000007</v>
      </c>
      <c r="F9" s="58">
        <f>VLOOKUP($B9,Coverage!$B$6:$V$53,F$35)</f>
        <v>4.67</v>
      </c>
      <c r="G9" s="26">
        <f>VLOOKUP($B9,Coverage!$B$6:$V$53,G$35)</f>
        <v>4</v>
      </c>
      <c r="H9" s="178">
        <f t="shared" si="1"/>
        <v>-0.66999999999999993</v>
      </c>
      <c r="I9" s="55">
        <f>VLOOKUP($B9,Coverage!$B$6:$V$53,I$35)</f>
        <v>4.67</v>
      </c>
      <c r="J9" s="56">
        <f>VLOOKUP($B9,Coverage!$B$6:$V$53,J$35)</f>
        <v>4</v>
      </c>
      <c r="K9" s="176">
        <f t="shared" si="2"/>
        <v>-0.66999999999999993</v>
      </c>
      <c r="L9" s="58">
        <f>VLOOKUP($B9,Coverage!$B$6:$V$53,L$35)</f>
        <v>5</v>
      </c>
      <c r="M9" s="26">
        <f>VLOOKUP($B9,Coverage!$B$6:$V$53,M$35)</f>
        <v>4</v>
      </c>
      <c r="N9" s="178">
        <f t="shared" si="3"/>
        <v>-1</v>
      </c>
      <c r="O9" s="55">
        <f>VLOOKUP($B9,Coverage!$B$6:$V$53,O$35)</f>
        <v>5.2</v>
      </c>
      <c r="P9" s="56">
        <f>VLOOKUP($B9,Coverage!$B$6:$V$53,P$35)</f>
        <v>5</v>
      </c>
      <c r="Q9" s="176">
        <f t="shared" si="4"/>
        <v>-0.20000000000000018</v>
      </c>
      <c r="R9" s="58">
        <f>VLOOKUP($B9,Coverage!$B$6:$V$53,R$35)</f>
        <v>5.58</v>
      </c>
      <c r="S9" s="26">
        <f>VLOOKUP($B9,Coverage!$B$6:$V$53,S$35)</f>
        <v>4</v>
      </c>
      <c r="T9" s="178">
        <f t="shared" si="5"/>
        <v>-1.58</v>
      </c>
      <c r="U9" s="55">
        <f>VLOOKUP($B9,Coverage!$B$6:$V$53,U$35)</f>
        <v>5.36</v>
      </c>
      <c r="V9" s="56">
        <f>VLOOKUP($B9,Coverage!$B$6:$V$53,V$35)</f>
        <v>5</v>
      </c>
      <c r="W9" s="176">
        <f t="shared" si="6"/>
        <v>-0.36000000000000032</v>
      </c>
      <c r="X9" s="48">
        <f>VLOOKUP($B9,Coverage!$B$6:$AQ$53,X$35)</f>
        <v>5.33</v>
      </c>
      <c r="Y9" s="49">
        <f>VLOOKUP($B9,Coverage!$B$6:$AQ$53,Y$35)</f>
        <v>4</v>
      </c>
      <c r="Z9" s="176">
        <f t="shared" si="7"/>
        <v>-1.33</v>
      </c>
      <c r="AA9" s="58">
        <f>VLOOKUP($B9,Coverage!$B$6:$AQ$53,AA$35)</f>
        <v>4.67</v>
      </c>
      <c r="AB9" s="26">
        <f>VLOOKUP($B9,Coverage!$B$6:$AQ$53,AB$35)</f>
        <v>5</v>
      </c>
      <c r="AC9" s="178">
        <f t="shared" si="8"/>
        <v>0.33000000000000007</v>
      </c>
      <c r="AD9" s="55">
        <f>VLOOKUP($B9,Coverage!$B$6:$AQ$53,AD$35)</f>
        <v>4.67</v>
      </c>
      <c r="AE9" s="56">
        <f>VLOOKUP($B9,Coverage!$B$6:$AQ$53,AE$35)</f>
        <v>4</v>
      </c>
      <c r="AF9" s="176">
        <f t="shared" si="9"/>
        <v>-0.66999999999999993</v>
      </c>
      <c r="AG9" s="58">
        <f>VLOOKUP($B9,Coverage!$B$6:$AQ$53,AG$35)</f>
        <v>5</v>
      </c>
      <c r="AH9" s="26">
        <f>VLOOKUP($B9,Coverage!$B$6:$AQ$53,AH$35)</f>
        <v>5</v>
      </c>
      <c r="AI9" s="178">
        <f t="shared" si="10"/>
        <v>0</v>
      </c>
      <c r="AJ9" s="55">
        <f>VLOOKUP($B9,Coverage!$B$6:$AQ$53,AJ$35)</f>
        <v>5.2</v>
      </c>
      <c r="AK9" s="56">
        <f>VLOOKUP($B9,Coverage!$B$6:$AQ$53,AK$35)</f>
        <v>4</v>
      </c>
      <c r="AL9" s="176">
        <f t="shared" si="11"/>
        <v>-1.2000000000000002</v>
      </c>
      <c r="AM9" s="58">
        <f>VLOOKUP($B9,Coverage!$B$6:$AQ$53,AM$35)</f>
        <v>5.58</v>
      </c>
      <c r="AN9" s="26">
        <f>VLOOKUP($B9,Coverage!$B$6:$AQ$53,AN$35)</f>
        <v>5</v>
      </c>
      <c r="AO9" s="178">
        <f t="shared" si="12"/>
        <v>-0.58000000000000007</v>
      </c>
      <c r="AP9" s="55">
        <f>VLOOKUP($B9,Coverage!$B$6:$AQ$53,AP$35)</f>
        <v>5.36</v>
      </c>
      <c r="AQ9" s="56">
        <f>VLOOKUP($B9,Coverage!$B$6:$AQ$53,AQ$35)</f>
        <v>5</v>
      </c>
      <c r="AR9" s="176">
        <f t="shared" si="13"/>
        <v>-0.36000000000000032</v>
      </c>
    </row>
    <row r="10" spans="2:44" x14ac:dyDescent="0.2">
      <c r="B10" s="54">
        <v>0.16666666666666699</v>
      </c>
      <c r="C10" s="48">
        <f>VLOOKUP($B10,Coverage!$B$6:$V$53,C$35)</f>
        <v>5.33</v>
      </c>
      <c r="D10" s="49">
        <f>VLOOKUP($B10,Coverage!$B$6:$V$53,D$35)</f>
        <v>5</v>
      </c>
      <c r="E10" s="176">
        <f t="shared" si="0"/>
        <v>-0.33000000000000007</v>
      </c>
      <c r="F10" s="58">
        <f>VLOOKUP($B10,Coverage!$B$6:$V$53,F$35)</f>
        <v>4.67</v>
      </c>
      <c r="G10" s="26">
        <f>VLOOKUP($B10,Coverage!$B$6:$V$53,G$35)</f>
        <v>4</v>
      </c>
      <c r="H10" s="178">
        <f t="shared" si="1"/>
        <v>-0.66999999999999993</v>
      </c>
      <c r="I10" s="55">
        <f>VLOOKUP($B10,Coverage!$B$6:$V$53,I$35)</f>
        <v>4.8499999999999996</v>
      </c>
      <c r="J10" s="56">
        <f>VLOOKUP($B10,Coverage!$B$6:$V$53,J$35)</f>
        <v>4</v>
      </c>
      <c r="K10" s="176">
        <f t="shared" si="2"/>
        <v>-0.84999999999999964</v>
      </c>
      <c r="L10" s="58">
        <f>VLOOKUP($B10,Coverage!$B$6:$V$53,L$35)</f>
        <v>5</v>
      </c>
      <c r="M10" s="26">
        <f>VLOOKUP($B10,Coverage!$B$6:$V$53,M$35)</f>
        <v>4</v>
      </c>
      <c r="N10" s="178">
        <f t="shared" si="3"/>
        <v>-1</v>
      </c>
      <c r="O10" s="55">
        <f>VLOOKUP($B10,Coverage!$B$6:$V$53,O$35)</f>
        <v>5.33</v>
      </c>
      <c r="P10" s="56">
        <f>VLOOKUP($B10,Coverage!$B$6:$V$53,P$35)</f>
        <v>5</v>
      </c>
      <c r="Q10" s="176">
        <f t="shared" si="4"/>
        <v>-0.33000000000000007</v>
      </c>
      <c r="R10" s="58">
        <f>VLOOKUP($B10,Coverage!$B$6:$V$53,R$35)</f>
        <v>5.67</v>
      </c>
      <c r="S10" s="26">
        <f>VLOOKUP($B10,Coverage!$B$6:$V$53,S$35)</f>
        <v>4</v>
      </c>
      <c r="T10" s="178">
        <f t="shared" si="5"/>
        <v>-1.67</v>
      </c>
      <c r="U10" s="55">
        <f>VLOOKUP($B10,Coverage!$B$6:$V$53,U$35)</f>
        <v>5.4</v>
      </c>
      <c r="V10" s="56">
        <f>VLOOKUP($B10,Coverage!$B$6:$V$53,V$35)</f>
        <v>5</v>
      </c>
      <c r="W10" s="176">
        <f t="shared" si="6"/>
        <v>-0.40000000000000036</v>
      </c>
      <c r="X10" s="48">
        <f>VLOOKUP($B10,Coverage!$B$6:$AQ$53,X$35)</f>
        <v>5.33</v>
      </c>
      <c r="Y10" s="49">
        <f>VLOOKUP($B10,Coverage!$B$6:$AQ$53,Y$35)</f>
        <v>4</v>
      </c>
      <c r="Z10" s="176">
        <f t="shared" si="7"/>
        <v>-1.33</v>
      </c>
      <c r="AA10" s="58">
        <f>VLOOKUP($B10,Coverage!$B$6:$AQ$53,AA$35)</f>
        <v>4.67</v>
      </c>
      <c r="AB10" s="26">
        <f>VLOOKUP($B10,Coverage!$B$6:$AQ$53,AB$35)</f>
        <v>5</v>
      </c>
      <c r="AC10" s="178">
        <f t="shared" si="8"/>
        <v>0.33000000000000007</v>
      </c>
      <c r="AD10" s="55">
        <f>VLOOKUP($B10,Coverage!$B$6:$AQ$53,AD$35)</f>
        <v>4.8499999999999996</v>
      </c>
      <c r="AE10" s="56">
        <f>VLOOKUP($B10,Coverage!$B$6:$AQ$53,AE$35)</f>
        <v>4</v>
      </c>
      <c r="AF10" s="176">
        <f t="shared" si="9"/>
        <v>-0.84999999999999964</v>
      </c>
      <c r="AG10" s="58">
        <f>VLOOKUP($B10,Coverage!$B$6:$AQ$53,AG$35)</f>
        <v>5</v>
      </c>
      <c r="AH10" s="26">
        <f>VLOOKUP($B10,Coverage!$B$6:$AQ$53,AH$35)</f>
        <v>5</v>
      </c>
      <c r="AI10" s="178">
        <f t="shared" si="10"/>
        <v>0</v>
      </c>
      <c r="AJ10" s="55">
        <f>VLOOKUP($B10,Coverage!$B$6:$AQ$53,AJ$35)</f>
        <v>5.33</v>
      </c>
      <c r="AK10" s="56">
        <f>VLOOKUP($B10,Coverage!$B$6:$AQ$53,AK$35)</f>
        <v>4</v>
      </c>
      <c r="AL10" s="176">
        <f t="shared" si="11"/>
        <v>-1.33</v>
      </c>
      <c r="AM10" s="58">
        <f>VLOOKUP($B10,Coverage!$B$6:$AQ$53,AM$35)</f>
        <v>5.67</v>
      </c>
      <c r="AN10" s="26">
        <f>VLOOKUP($B10,Coverage!$B$6:$AQ$53,AN$35)</f>
        <v>5</v>
      </c>
      <c r="AO10" s="178">
        <f t="shared" si="12"/>
        <v>-0.66999999999999993</v>
      </c>
      <c r="AP10" s="55">
        <f>VLOOKUP($B10,Coverage!$B$6:$AQ$53,AP$35)</f>
        <v>5.4</v>
      </c>
      <c r="AQ10" s="56">
        <f>VLOOKUP($B10,Coverage!$B$6:$AQ$53,AQ$35)</f>
        <v>5</v>
      </c>
      <c r="AR10" s="176">
        <f t="shared" si="13"/>
        <v>-0.40000000000000036</v>
      </c>
    </row>
    <row r="11" spans="2:44" x14ac:dyDescent="0.2">
      <c r="B11" s="54">
        <v>0.20833333333333301</v>
      </c>
      <c r="C11" s="48">
        <f>VLOOKUP($B11,Coverage!$B$6:$V$53,C$35)</f>
        <v>5.33</v>
      </c>
      <c r="D11" s="49">
        <f>VLOOKUP($B11,Coverage!$B$6:$V$53,D$35)</f>
        <v>5</v>
      </c>
      <c r="E11" s="176">
        <f t="shared" si="0"/>
        <v>-0.33000000000000007</v>
      </c>
      <c r="F11" s="58">
        <f>VLOOKUP($B11,Coverage!$B$6:$V$53,F$35)</f>
        <v>4.7</v>
      </c>
      <c r="G11" s="26">
        <f>VLOOKUP($B11,Coverage!$B$6:$V$53,G$35)</f>
        <v>5</v>
      </c>
      <c r="H11" s="178">
        <f t="shared" si="1"/>
        <v>0.29999999999999982</v>
      </c>
      <c r="I11" s="55">
        <f>VLOOKUP($B11,Coverage!$B$6:$V$53,I$35)</f>
        <v>5</v>
      </c>
      <c r="J11" s="56">
        <f>VLOOKUP($B11,Coverage!$B$6:$V$53,J$35)</f>
        <v>5</v>
      </c>
      <c r="K11" s="176">
        <f t="shared" si="2"/>
        <v>0</v>
      </c>
      <c r="L11" s="58">
        <f>VLOOKUP($B11,Coverage!$B$6:$V$53,L$35)</f>
        <v>5</v>
      </c>
      <c r="M11" s="26">
        <f>VLOOKUP($B11,Coverage!$B$6:$V$53,M$35)</f>
        <v>5</v>
      </c>
      <c r="N11" s="178">
        <f t="shared" si="3"/>
        <v>0</v>
      </c>
      <c r="O11" s="55">
        <f>VLOOKUP($B11,Coverage!$B$6:$V$53,O$35)</f>
        <v>5.33</v>
      </c>
      <c r="P11" s="56">
        <f>VLOOKUP($B11,Coverage!$B$6:$V$53,P$35)</f>
        <v>5</v>
      </c>
      <c r="Q11" s="176">
        <f t="shared" si="4"/>
        <v>-0.33000000000000007</v>
      </c>
      <c r="R11" s="58">
        <f>VLOOKUP($B11,Coverage!$B$6:$V$53,R$35)</f>
        <v>5.67</v>
      </c>
      <c r="S11" s="26">
        <f>VLOOKUP($B11,Coverage!$B$6:$V$53,S$35)</f>
        <v>5</v>
      </c>
      <c r="T11" s="178">
        <f t="shared" si="5"/>
        <v>-0.66999999999999993</v>
      </c>
      <c r="U11" s="55">
        <f>VLOOKUP($B11,Coverage!$B$6:$V$53,U$35)</f>
        <v>5.4</v>
      </c>
      <c r="V11" s="56">
        <f>VLOOKUP($B11,Coverage!$B$6:$V$53,V$35)</f>
        <v>6</v>
      </c>
      <c r="W11" s="176">
        <f t="shared" si="6"/>
        <v>0.59999999999999964</v>
      </c>
      <c r="X11" s="48">
        <f>VLOOKUP($B11,Coverage!$B$6:$AQ$53,X$35)</f>
        <v>5.33</v>
      </c>
      <c r="Y11" s="49">
        <f>VLOOKUP($B11,Coverage!$B$6:$AQ$53,Y$35)</f>
        <v>5</v>
      </c>
      <c r="Z11" s="176">
        <f t="shared" si="7"/>
        <v>-0.33000000000000007</v>
      </c>
      <c r="AA11" s="58">
        <f>VLOOKUP($B11,Coverage!$B$6:$AQ$53,AA$35)</f>
        <v>4.7</v>
      </c>
      <c r="AB11" s="26">
        <f>VLOOKUP($B11,Coverage!$B$6:$AQ$53,AB$35)</f>
        <v>5</v>
      </c>
      <c r="AC11" s="178">
        <f t="shared" si="8"/>
        <v>0.29999999999999982</v>
      </c>
      <c r="AD11" s="55">
        <f>VLOOKUP($B11,Coverage!$B$6:$AQ$53,AD$35)</f>
        <v>5</v>
      </c>
      <c r="AE11" s="56">
        <f>VLOOKUP($B11,Coverage!$B$6:$AQ$53,AE$35)</f>
        <v>5</v>
      </c>
      <c r="AF11" s="176">
        <f t="shared" si="9"/>
        <v>0</v>
      </c>
      <c r="AG11" s="58">
        <f>VLOOKUP($B11,Coverage!$B$6:$AQ$53,AG$35)</f>
        <v>5</v>
      </c>
      <c r="AH11" s="26">
        <f>VLOOKUP($B11,Coverage!$B$6:$AQ$53,AH$35)</f>
        <v>5</v>
      </c>
      <c r="AI11" s="178">
        <f t="shared" si="10"/>
        <v>0</v>
      </c>
      <c r="AJ11" s="55">
        <f>VLOOKUP($B11,Coverage!$B$6:$AQ$53,AJ$35)</f>
        <v>5.33</v>
      </c>
      <c r="AK11" s="56">
        <f>VLOOKUP($B11,Coverage!$B$6:$AQ$53,AK$35)</f>
        <v>5</v>
      </c>
      <c r="AL11" s="176">
        <f t="shared" si="11"/>
        <v>-0.33000000000000007</v>
      </c>
      <c r="AM11" s="58">
        <f>VLOOKUP($B11,Coverage!$B$6:$AQ$53,AM$35)</f>
        <v>5.67</v>
      </c>
      <c r="AN11" s="26">
        <f>VLOOKUP($B11,Coverage!$B$6:$AQ$53,AN$35)</f>
        <v>6</v>
      </c>
      <c r="AO11" s="178">
        <f t="shared" si="12"/>
        <v>0.33000000000000007</v>
      </c>
      <c r="AP11" s="55">
        <f>VLOOKUP($B11,Coverage!$B$6:$AQ$53,AP$35)</f>
        <v>5.4</v>
      </c>
      <c r="AQ11" s="56">
        <f>VLOOKUP($B11,Coverage!$B$6:$AQ$53,AQ$35)</f>
        <v>5</v>
      </c>
      <c r="AR11" s="176">
        <f t="shared" si="13"/>
        <v>-0.40000000000000036</v>
      </c>
    </row>
    <row r="12" spans="2:44" x14ac:dyDescent="0.2">
      <c r="B12" s="54">
        <v>0.25</v>
      </c>
      <c r="C12" s="48">
        <f>VLOOKUP($B12,Coverage!$B$6:$V$53,C$35)</f>
        <v>5.33</v>
      </c>
      <c r="D12" s="49">
        <f>VLOOKUP($B12,Coverage!$B$6:$V$53,D$35)</f>
        <v>5</v>
      </c>
      <c r="E12" s="176">
        <f t="shared" si="0"/>
        <v>-0.33000000000000007</v>
      </c>
      <c r="F12" s="58">
        <f>VLOOKUP($B12,Coverage!$B$6:$V$53,F$35)</f>
        <v>4.88</v>
      </c>
      <c r="G12" s="26">
        <f>VLOOKUP($B12,Coverage!$B$6:$V$53,G$35)</f>
        <v>5</v>
      </c>
      <c r="H12" s="178">
        <f t="shared" si="1"/>
        <v>0.12000000000000011</v>
      </c>
      <c r="I12" s="55">
        <f>VLOOKUP($B12,Coverage!$B$6:$V$53,I$35)</f>
        <v>5</v>
      </c>
      <c r="J12" s="56">
        <f>VLOOKUP($B12,Coverage!$B$6:$V$53,J$35)</f>
        <v>5</v>
      </c>
      <c r="K12" s="176">
        <f t="shared" si="2"/>
        <v>0</v>
      </c>
      <c r="L12" s="58">
        <f>VLOOKUP($B12,Coverage!$B$6:$V$53,L$35)</f>
        <v>5.0999999999999996</v>
      </c>
      <c r="M12" s="26">
        <f>VLOOKUP($B12,Coverage!$B$6:$V$53,M$35)</f>
        <v>5</v>
      </c>
      <c r="N12" s="178">
        <f t="shared" si="3"/>
        <v>-9.9999999999999645E-2</v>
      </c>
      <c r="O12" s="55">
        <f>VLOOKUP($B12,Coverage!$B$6:$V$53,O$35)</f>
        <v>5.33</v>
      </c>
      <c r="P12" s="56">
        <f>VLOOKUP($B12,Coverage!$B$6:$V$53,P$35)</f>
        <v>5</v>
      </c>
      <c r="Q12" s="176">
        <f t="shared" si="4"/>
        <v>-0.33000000000000007</v>
      </c>
      <c r="R12" s="58">
        <f>VLOOKUP($B12,Coverage!$B$6:$V$53,R$35)</f>
        <v>5.67</v>
      </c>
      <c r="S12" s="26">
        <f>VLOOKUP($B12,Coverage!$B$6:$V$53,S$35)</f>
        <v>5</v>
      </c>
      <c r="T12" s="178">
        <f t="shared" si="5"/>
        <v>-0.66999999999999993</v>
      </c>
      <c r="U12" s="55">
        <f>VLOOKUP($B12,Coverage!$B$6:$V$53,U$35)</f>
        <v>5.48</v>
      </c>
      <c r="V12" s="56">
        <f>VLOOKUP($B12,Coverage!$B$6:$V$53,V$35)</f>
        <v>6</v>
      </c>
      <c r="W12" s="176">
        <f t="shared" si="6"/>
        <v>0.51999999999999957</v>
      </c>
      <c r="X12" s="48">
        <f>VLOOKUP($B12,Coverage!$B$6:$AQ$53,X$35)</f>
        <v>5.33</v>
      </c>
      <c r="Y12" s="49">
        <f>VLOOKUP($B12,Coverage!$B$6:$AQ$53,Y$35)</f>
        <v>5</v>
      </c>
      <c r="Z12" s="176">
        <f t="shared" si="7"/>
        <v>-0.33000000000000007</v>
      </c>
      <c r="AA12" s="58">
        <f>VLOOKUP($B12,Coverage!$B$6:$AQ$53,AA$35)</f>
        <v>4.88</v>
      </c>
      <c r="AB12" s="26">
        <f>VLOOKUP($B12,Coverage!$B$6:$AQ$53,AB$35)</f>
        <v>5</v>
      </c>
      <c r="AC12" s="178">
        <f t="shared" si="8"/>
        <v>0.12000000000000011</v>
      </c>
      <c r="AD12" s="55">
        <f>VLOOKUP($B12,Coverage!$B$6:$AQ$53,AD$35)</f>
        <v>5</v>
      </c>
      <c r="AE12" s="56">
        <f>VLOOKUP($B12,Coverage!$B$6:$AQ$53,AE$35)</f>
        <v>5</v>
      </c>
      <c r="AF12" s="176">
        <f t="shared" si="9"/>
        <v>0</v>
      </c>
      <c r="AG12" s="58">
        <f>VLOOKUP($B12,Coverage!$B$6:$AQ$53,AG$35)</f>
        <v>5.0999999999999996</v>
      </c>
      <c r="AH12" s="26">
        <f>VLOOKUP($B12,Coverage!$B$6:$AQ$53,AH$35)</f>
        <v>5</v>
      </c>
      <c r="AI12" s="178">
        <f t="shared" si="10"/>
        <v>-9.9999999999999645E-2</v>
      </c>
      <c r="AJ12" s="55">
        <f>VLOOKUP($B12,Coverage!$B$6:$AQ$53,AJ$35)</f>
        <v>5.33</v>
      </c>
      <c r="AK12" s="56">
        <f>VLOOKUP($B12,Coverage!$B$6:$AQ$53,AK$35)</f>
        <v>5</v>
      </c>
      <c r="AL12" s="176">
        <f t="shared" si="11"/>
        <v>-0.33000000000000007</v>
      </c>
      <c r="AM12" s="58">
        <f>VLOOKUP($B12,Coverage!$B$6:$AQ$53,AM$35)</f>
        <v>5.67</v>
      </c>
      <c r="AN12" s="26">
        <f>VLOOKUP($B12,Coverage!$B$6:$AQ$53,AN$35)</f>
        <v>6</v>
      </c>
      <c r="AO12" s="178">
        <f t="shared" si="12"/>
        <v>0.33000000000000007</v>
      </c>
      <c r="AP12" s="55">
        <f>VLOOKUP($B12,Coverage!$B$6:$AQ$53,AP$35)</f>
        <v>5.48</v>
      </c>
      <c r="AQ12" s="56">
        <f>VLOOKUP($B12,Coverage!$B$6:$AQ$53,AQ$35)</f>
        <v>5</v>
      </c>
      <c r="AR12" s="176">
        <f t="shared" si="13"/>
        <v>-0.48000000000000043</v>
      </c>
    </row>
    <row r="13" spans="2:44" x14ac:dyDescent="0.2">
      <c r="B13" s="54">
        <v>0.29166666666666702</v>
      </c>
      <c r="C13" s="48">
        <f>VLOOKUP($B13,Coverage!$B$6:$V$53,C$35)</f>
        <v>5.33</v>
      </c>
      <c r="D13" s="49">
        <f>VLOOKUP($B13,Coverage!$B$6:$V$53,D$35)</f>
        <v>5</v>
      </c>
      <c r="E13" s="176">
        <f t="shared" si="0"/>
        <v>-0.33000000000000007</v>
      </c>
      <c r="F13" s="58">
        <f>VLOOKUP($B13,Coverage!$B$6:$V$53,F$35)</f>
        <v>4.9000000000000004</v>
      </c>
      <c r="G13" s="26">
        <f>VLOOKUP($B13,Coverage!$B$6:$V$53,G$35)</f>
        <v>5</v>
      </c>
      <c r="H13" s="178">
        <f t="shared" si="1"/>
        <v>9.9999999999999645E-2</v>
      </c>
      <c r="I13" s="55">
        <f>VLOOKUP($B13,Coverage!$B$6:$V$53,I$35)</f>
        <v>5</v>
      </c>
      <c r="J13" s="56">
        <f>VLOOKUP($B13,Coverage!$B$6:$V$53,J$35)</f>
        <v>5</v>
      </c>
      <c r="K13" s="176">
        <f t="shared" si="2"/>
        <v>0</v>
      </c>
      <c r="L13" s="58">
        <f>VLOOKUP($B13,Coverage!$B$6:$V$53,L$35)</f>
        <v>5.12</v>
      </c>
      <c r="M13" s="26">
        <f>VLOOKUP($B13,Coverage!$B$6:$V$53,M$35)</f>
        <v>5</v>
      </c>
      <c r="N13" s="178">
        <f t="shared" si="3"/>
        <v>-0.12000000000000011</v>
      </c>
      <c r="O13" s="55">
        <f>VLOOKUP($B13,Coverage!$B$6:$V$53,O$35)</f>
        <v>5.33</v>
      </c>
      <c r="P13" s="56">
        <f>VLOOKUP($B13,Coverage!$B$6:$V$53,P$35)</f>
        <v>5</v>
      </c>
      <c r="Q13" s="176">
        <f t="shared" si="4"/>
        <v>-0.33000000000000007</v>
      </c>
      <c r="R13" s="58">
        <f>VLOOKUP($B13,Coverage!$B$6:$V$53,R$35)</f>
        <v>5.67</v>
      </c>
      <c r="S13" s="26">
        <f>VLOOKUP($B13,Coverage!$B$6:$V$53,S$35)</f>
        <v>6</v>
      </c>
      <c r="T13" s="178">
        <f t="shared" si="5"/>
        <v>0.33000000000000007</v>
      </c>
      <c r="U13" s="55">
        <f>VLOOKUP($B13,Coverage!$B$6:$V$53,U$35)</f>
        <v>5.67</v>
      </c>
      <c r="V13" s="56">
        <f>VLOOKUP($B13,Coverage!$B$6:$V$53,V$35)</f>
        <v>5</v>
      </c>
      <c r="W13" s="176">
        <f t="shared" si="6"/>
        <v>-0.66999999999999993</v>
      </c>
      <c r="X13" s="48">
        <f>VLOOKUP($B13,Coverage!$B$6:$AQ$53,X$35)</f>
        <v>5.33</v>
      </c>
      <c r="Y13" s="49">
        <f>VLOOKUP($B13,Coverage!$B$6:$AQ$53,Y$35)</f>
        <v>5</v>
      </c>
      <c r="Z13" s="176">
        <f t="shared" si="7"/>
        <v>-0.33000000000000007</v>
      </c>
      <c r="AA13" s="58">
        <f>VLOOKUP($B13,Coverage!$B$6:$AQ$53,AA$35)</f>
        <v>4.9000000000000004</v>
      </c>
      <c r="AB13" s="26">
        <f>VLOOKUP($B13,Coverage!$B$6:$AQ$53,AB$35)</f>
        <v>5</v>
      </c>
      <c r="AC13" s="178">
        <f t="shared" si="8"/>
        <v>9.9999999999999645E-2</v>
      </c>
      <c r="AD13" s="55">
        <f>VLOOKUP($B13,Coverage!$B$6:$AQ$53,AD$35)</f>
        <v>5</v>
      </c>
      <c r="AE13" s="56">
        <f>VLOOKUP($B13,Coverage!$B$6:$AQ$53,AE$35)</f>
        <v>5</v>
      </c>
      <c r="AF13" s="176">
        <f t="shared" si="9"/>
        <v>0</v>
      </c>
      <c r="AG13" s="58">
        <f>VLOOKUP($B13,Coverage!$B$6:$AQ$53,AG$35)</f>
        <v>5.12</v>
      </c>
      <c r="AH13" s="26">
        <f>VLOOKUP($B13,Coverage!$B$6:$AQ$53,AH$35)</f>
        <v>5</v>
      </c>
      <c r="AI13" s="178">
        <f t="shared" si="10"/>
        <v>-0.12000000000000011</v>
      </c>
      <c r="AJ13" s="55">
        <f>VLOOKUP($B13,Coverage!$B$6:$AQ$53,AJ$35)</f>
        <v>5.33</v>
      </c>
      <c r="AK13" s="56">
        <f>VLOOKUP($B13,Coverage!$B$6:$AQ$53,AK$35)</f>
        <v>5</v>
      </c>
      <c r="AL13" s="176">
        <f t="shared" si="11"/>
        <v>-0.33000000000000007</v>
      </c>
      <c r="AM13" s="58">
        <f>VLOOKUP($B13,Coverage!$B$6:$AQ$53,AM$35)</f>
        <v>5.67</v>
      </c>
      <c r="AN13" s="26">
        <f>VLOOKUP($B13,Coverage!$B$6:$AQ$53,AN$35)</f>
        <v>6</v>
      </c>
      <c r="AO13" s="178">
        <f t="shared" si="12"/>
        <v>0.33000000000000007</v>
      </c>
      <c r="AP13" s="55">
        <f>VLOOKUP($B13,Coverage!$B$6:$AQ$53,AP$35)</f>
        <v>5.67</v>
      </c>
      <c r="AQ13" s="56">
        <f>VLOOKUP($B13,Coverage!$B$6:$AQ$53,AQ$35)</f>
        <v>5</v>
      </c>
      <c r="AR13" s="176">
        <f t="shared" si="13"/>
        <v>-0.66999999999999993</v>
      </c>
    </row>
    <row r="14" spans="2:44" x14ac:dyDescent="0.2">
      <c r="B14" s="54">
        <v>0.33333333333333298</v>
      </c>
      <c r="C14" s="48">
        <f>VLOOKUP($B14,Coverage!$B$6:$V$53,C$35)</f>
        <v>5.33</v>
      </c>
      <c r="D14" s="49">
        <f>VLOOKUP($B14,Coverage!$B$6:$V$53,D$35)</f>
        <v>5</v>
      </c>
      <c r="E14" s="176">
        <f t="shared" si="0"/>
        <v>-0.33000000000000007</v>
      </c>
      <c r="F14" s="58">
        <f>VLOOKUP($B14,Coverage!$B$6:$V$53,F$35)</f>
        <v>4.99</v>
      </c>
      <c r="G14" s="26">
        <f>VLOOKUP($B14,Coverage!$B$6:$V$53,G$35)</f>
        <v>5</v>
      </c>
      <c r="H14" s="178">
        <f t="shared" si="1"/>
        <v>9.9999999999997868E-3</v>
      </c>
      <c r="I14" s="55">
        <f>VLOOKUP($B14,Coverage!$B$6:$V$53,I$35)</f>
        <v>5</v>
      </c>
      <c r="J14" s="56">
        <f>VLOOKUP($B14,Coverage!$B$6:$V$53,J$35)</f>
        <v>5</v>
      </c>
      <c r="K14" s="176">
        <f t="shared" si="2"/>
        <v>0</v>
      </c>
      <c r="L14" s="58">
        <f>VLOOKUP($B14,Coverage!$B$6:$V$53,L$35)</f>
        <v>5.18</v>
      </c>
      <c r="M14" s="26">
        <f>VLOOKUP($B14,Coverage!$B$6:$V$53,M$35)</f>
        <v>5</v>
      </c>
      <c r="N14" s="178">
        <f t="shared" si="3"/>
        <v>-0.17999999999999972</v>
      </c>
      <c r="O14" s="55">
        <f>VLOOKUP($B14,Coverage!$B$6:$V$53,O$35)</f>
        <v>5.33</v>
      </c>
      <c r="P14" s="56">
        <f>VLOOKUP($B14,Coverage!$B$6:$V$53,P$35)</f>
        <v>5</v>
      </c>
      <c r="Q14" s="176">
        <f t="shared" si="4"/>
        <v>-0.33000000000000007</v>
      </c>
      <c r="R14" s="58">
        <f>VLOOKUP($B14,Coverage!$B$6:$V$53,R$35)</f>
        <v>5.67</v>
      </c>
      <c r="S14" s="26">
        <f>VLOOKUP($B14,Coverage!$B$6:$V$53,S$35)</f>
        <v>6</v>
      </c>
      <c r="T14" s="178">
        <f t="shared" si="5"/>
        <v>0.33000000000000007</v>
      </c>
      <c r="U14" s="55">
        <f>VLOOKUP($B14,Coverage!$B$6:$V$53,U$35)</f>
        <v>5.67</v>
      </c>
      <c r="V14" s="56">
        <f>VLOOKUP($B14,Coverage!$B$6:$V$53,V$35)</f>
        <v>5</v>
      </c>
      <c r="W14" s="176">
        <f t="shared" si="6"/>
        <v>-0.66999999999999993</v>
      </c>
      <c r="X14" s="48">
        <f>VLOOKUP($B14,Coverage!$B$6:$AQ$53,X$35)</f>
        <v>5.33</v>
      </c>
      <c r="Y14" s="49">
        <f>VLOOKUP($B14,Coverage!$B$6:$AQ$53,Y$35)</f>
        <v>5</v>
      </c>
      <c r="Z14" s="176">
        <f t="shared" si="7"/>
        <v>-0.33000000000000007</v>
      </c>
      <c r="AA14" s="58">
        <f>VLOOKUP($B14,Coverage!$B$6:$AQ$53,AA$35)</f>
        <v>4.99</v>
      </c>
      <c r="AB14" s="26">
        <f>VLOOKUP($B14,Coverage!$B$6:$AQ$53,AB$35)</f>
        <v>5</v>
      </c>
      <c r="AC14" s="178">
        <f t="shared" si="8"/>
        <v>9.9999999999997868E-3</v>
      </c>
      <c r="AD14" s="55">
        <f>VLOOKUP($B14,Coverage!$B$6:$AQ$53,AD$35)</f>
        <v>5</v>
      </c>
      <c r="AE14" s="56">
        <f>VLOOKUP($B14,Coverage!$B$6:$AQ$53,AE$35)</f>
        <v>5</v>
      </c>
      <c r="AF14" s="176">
        <f t="shared" si="9"/>
        <v>0</v>
      </c>
      <c r="AG14" s="58">
        <f>VLOOKUP($B14,Coverage!$B$6:$AQ$53,AG$35)</f>
        <v>5.18</v>
      </c>
      <c r="AH14" s="26">
        <f>VLOOKUP($B14,Coverage!$B$6:$AQ$53,AH$35)</f>
        <v>5</v>
      </c>
      <c r="AI14" s="178">
        <f t="shared" si="10"/>
        <v>-0.17999999999999972</v>
      </c>
      <c r="AJ14" s="55">
        <f>VLOOKUP($B14,Coverage!$B$6:$AQ$53,AJ$35)</f>
        <v>5.33</v>
      </c>
      <c r="AK14" s="56">
        <f>VLOOKUP($B14,Coverage!$B$6:$AQ$53,AK$35)</f>
        <v>5</v>
      </c>
      <c r="AL14" s="176">
        <f t="shared" si="11"/>
        <v>-0.33000000000000007</v>
      </c>
      <c r="AM14" s="58">
        <f>VLOOKUP($B14,Coverage!$B$6:$AQ$53,AM$35)</f>
        <v>5.67</v>
      </c>
      <c r="AN14" s="26">
        <f>VLOOKUP($B14,Coverage!$B$6:$AQ$53,AN$35)</f>
        <v>6</v>
      </c>
      <c r="AO14" s="178">
        <f t="shared" si="12"/>
        <v>0.33000000000000007</v>
      </c>
      <c r="AP14" s="55">
        <f>VLOOKUP($B14,Coverage!$B$6:$AQ$53,AP$35)</f>
        <v>5.67</v>
      </c>
      <c r="AQ14" s="56">
        <f>VLOOKUP($B14,Coverage!$B$6:$AQ$53,AQ$35)</f>
        <v>5</v>
      </c>
      <c r="AR14" s="176">
        <f t="shared" si="13"/>
        <v>-0.66999999999999993</v>
      </c>
    </row>
    <row r="15" spans="2:44" x14ac:dyDescent="0.2">
      <c r="B15" s="54">
        <v>0.375</v>
      </c>
      <c r="C15" s="48">
        <f>VLOOKUP($B15,Coverage!$B$6:$V$53,C$35)</f>
        <v>5.33</v>
      </c>
      <c r="D15" s="49">
        <f>VLOOKUP($B15,Coverage!$B$6:$V$53,D$35)</f>
        <v>5</v>
      </c>
      <c r="E15" s="176">
        <f t="shared" si="0"/>
        <v>-0.33000000000000007</v>
      </c>
      <c r="F15" s="58">
        <f>VLOOKUP($B15,Coverage!$B$6:$V$53,F$35)</f>
        <v>5</v>
      </c>
      <c r="G15" s="26">
        <f>VLOOKUP($B15,Coverage!$B$6:$V$53,G$35)</f>
        <v>5</v>
      </c>
      <c r="H15" s="178">
        <f t="shared" si="1"/>
        <v>0</v>
      </c>
      <c r="I15" s="55">
        <f>VLOOKUP($B15,Coverage!$B$6:$V$53,I$35)</f>
        <v>5</v>
      </c>
      <c r="J15" s="56">
        <f>VLOOKUP($B15,Coverage!$B$6:$V$53,J$35)</f>
        <v>5</v>
      </c>
      <c r="K15" s="176">
        <f t="shared" si="2"/>
        <v>0</v>
      </c>
      <c r="L15" s="58">
        <f>VLOOKUP($B15,Coverage!$B$6:$V$53,L$35)</f>
        <v>5.33</v>
      </c>
      <c r="M15" s="26">
        <f>VLOOKUP($B15,Coverage!$B$6:$V$53,M$35)</f>
        <v>5</v>
      </c>
      <c r="N15" s="178">
        <f t="shared" si="3"/>
        <v>-0.33000000000000007</v>
      </c>
      <c r="O15" s="55">
        <f>VLOOKUP($B15,Coverage!$B$6:$V$53,O$35)</f>
        <v>5.44</v>
      </c>
      <c r="P15" s="56">
        <f>VLOOKUP($B15,Coverage!$B$6:$V$53,P$35)</f>
        <v>5</v>
      </c>
      <c r="Q15" s="176">
        <f t="shared" si="4"/>
        <v>-0.44000000000000039</v>
      </c>
      <c r="R15" s="58">
        <f>VLOOKUP($B15,Coverage!$B$6:$V$53,R$35)</f>
        <v>5.67</v>
      </c>
      <c r="S15" s="26">
        <f>VLOOKUP($B15,Coverage!$B$6:$V$53,S$35)</f>
        <v>6</v>
      </c>
      <c r="T15" s="178">
        <f t="shared" si="5"/>
        <v>0.33000000000000007</v>
      </c>
      <c r="U15" s="55">
        <f>VLOOKUP($B15,Coverage!$B$6:$V$53,U$35)</f>
        <v>5.67</v>
      </c>
      <c r="V15" s="56">
        <f>VLOOKUP($B15,Coverage!$B$6:$V$53,V$35)</f>
        <v>5</v>
      </c>
      <c r="W15" s="176">
        <f t="shared" si="6"/>
        <v>-0.66999999999999993</v>
      </c>
      <c r="X15" s="48">
        <f>VLOOKUP($B15,Coverage!$B$6:$AQ$53,X$35)</f>
        <v>5.33</v>
      </c>
      <c r="Y15" s="49">
        <f>VLOOKUP($B15,Coverage!$B$6:$AQ$53,Y$35)</f>
        <v>5</v>
      </c>
      <c r="Z15" s="176">
        <f t="shared" si="7"/>
        <v>-0.33000000000000007</v>
      </c>
      <c r="AA15" s="58">
        <f>VLOOKUP($B15,Coverage!$B$6:$AQ$53,AA$35)</f>
        <v>5</v>
      </c>
      <c r="AB15" s="26">
        <f>VLOOKUP($B15,Coverage!$B$6:$AQ$53,AB$35)</f>
        <v>5</v>
      </c>
      <c r="AC15" s="178">
        <f t="shared" si="8"/>
        <v>0</v>
      </c>
      <c r="AD15" s="55">
        <f>VLOOKUP($B15,Coverage!$B$6:$AQ$53,AD$35)</f>
        <v>5</v>
      </c>
      <c r="AE15" s="56">
        <f>VLOOKUP($B15,Coverage!$B$6:$AQ$53,AE$35)</f>
        <v>5</v>
      </c>
      <c r="AF15" s="176">
        <f t="shared" si="9"/>
        <v>0</v>
      </c>
      <c r="AG15" s="58">
        <f>VLOOKUP($B15,Coverage!$B$6:$AQ$53,AG$35)</f>
        <v>5.33</v>
      </c>
      <c r="AH15" s="26">
        <f>VLOOKUP($B15,Coverage!$B$6:$AQ$53,AH$35)</f>
        <v>5</v>
      </c>
      <c r="AI15" s="178">
        <f t="shared" si="10"/>
        <v>-0.33000000000000007</v>
      </c>
      <c r="AJ15" s="55">
        <f>VLOOKUP($B15,Coverage!$B$6:$AQ$53,AJ$35)</f>
        <v>5.44</v>
      </c>
      <c r="AK15" s="56">
        <f>VLOOKUP($B15,Coverage!$B$6:$AQ$53,AK$35)</f>
        <v>5</v>
      </c>
      <c r="AL15" s="176">
        <f t="shared" si="11"/>
        <v>-0.44000000000000039</v>
      </c>
      <c r="AM15" s="58">
        <f>VLOOKUP($B15,Coverage!$B$6:$AQ$53,AM$35)</f>
        <v>5.67</v>
      </c>
      <c r="AN15" s="26">
        <f>VLOOKUP($B15,Coverage!$B$6:$AQ$53,AN$35)</f>
        <v>6</v>
      </c>
      <c r="AO15" s="178">
        <f t="shared" si="12"/>
        <v>0.33000000000000007</v>
      </c>
      <c r="AP15" s="55">
        <f>VLOOKUP($B15,Coverage!$B$6:$AQ$53,AP$35)</f>
        <v>5.67</v>
      </c>
      <c r="AQ15" s="56">
        <f>VLOOKUP($B15,Coverage!$B$6:$AQ$53,AQ$35)</f>
        <v>5</v>
      </c>
      <c r="AR15" s="176">
        <f t="shared" si="13"/>
        <v>-0.66999999999999993</v>
      </c>
    </row>
    <row r="16" spans="2:44" x14ac:dyDescent="0.2">
      <c r="B16" s="54">
        <v>0.41666666666666702</v>
      </c>
      <c r="C16" s="48">
        <f>VLOOKUP($B16,Coverage!$B$6:$V$53,C$35)</f>
        <v>5.33</v>
      </c>
      <c r="D16" s="49">
        <f>VLOOKUP($B16,Coverage!$B$6:$V$53,D$35)</f>
        <v>5</v>
      </c>
      <c r="E16" s="176">
        <f t="shared" si="0"/>
        <v>-0.33000000000000007</v>
      </c>
      <c r="F16" s="58">
        <f>VLOOKUP($B16,Coverage!$B$6:$V$53,F$35)</f>
        <v>5</v>
      </c>
      <c r="G16" s="26">
        <f>VLOOKUP($B16,Coverage!$B$6:$V$53,G$35)</f>
        <v>5</v>
      </c>
      <c r="H16" s="178">
        <f t="shared" si="1"/>
        <v>0</v>
      </c>
      <c r="I16" s="55">
        <f>VLOOKUP($B16,Coverage!$B$6:$V$53,I$35)</f>
        <v>5</v>
      </c>
      <c r="J16" s="56">
        <f>VLOOKUP($B16,Coverage!$B$6:$V$53,J$35)</f>
        <v>5</v>
      </c>
      <c r="K16" s="176">
        <f t="shared" si="2"/>
        <v>0</v>
      </c>
      <c r="L16" s="58">
        <f>VLOOKUP($B16,Coverage!$B$6:$V$53,L$35)</f>
        <v>5.08</v>
      </c>
      <c r="M16" s="26">
        <f>VLOOKUP($B16,Coverage!$B$6:$V$53,M$35)</f>
        <v>5</v>
      </c>
      <c r="N16" s="178">
        <f t="shared" si="3"/>
        <v>-8.0000000000000071E-2</v>
      </c>
      <c r="O16" s="55">
        <f>VLOOKUP($B16,Coverage!$B$6:$V$53,O$35)</f>
        <v>5.35</v>
      </c>
      <c r="P16" s="56">
        <f>VLOOKUP($B16,Coverage!$B$6:$V$53,P$35)</f>
        <v>5</v>
      </c>
      <c r="Q16" s="176">
        <f t="shared" si="4"/>
        <v>-0.34999999999999964</v>
      </c>
      <c r="R16" s="58">
        <f>VLOOKUP($B16,Coverage!$B$6:$V$53,R$35)</f>
        <v>5.67</v>
      </c>
      <c r="S16" s="26">
        <f>VLOOKUP($B16,Coverage!$B$6:$V$53,S$35)</f>
        <v>6</v>
      </c>
      <c r="T16" s="178">
        <f t="shared" si="5"/>
        <v>0.33000000000000007</v>
      </c>
      <c r="U16" s="55">
        <f>VLOOKUP($B16,Coverage!$B$6:$V$53,U$35)</f>
        <v>5.67</v>
      </c>
      <c r="V16" s="56">
        <f>VLOOKUP($B16,Coverage!$B$6:$V$53,V$35)</f>
        <v>5</v>
      </c>
      <c r="W16" s="176">
        <f t="shared" si="6"/>
        <v>-0.66999999999999993</v>
      </c>
      <c r="X16" s="48">
        <f>VLOOKUP($B16,Coverage!$B$6:$AQ$53,X$35)</f>
        <v>5.33</v>
      </c>
      <c r="Y16" s="49">
        <f>VLOOKUP($B16,Coverage!$B$6:$AQ$53,Y$35)</f>
        <v>5</v>
      </c>
      <c r="Z16" s="176">
        <f t="shared" si="7"/>
        <v>-0.33000000000000007</v>
      </c>
      <c r="AA16" s="58">
        <f>VLOOKUP($B16,Coverage!$B$6:$AQ$53,AA$35)</f>
        <v>5</v>
      </c>
      <c r="AB16" s="26">
        <f>VLOOKUP($B16,Coverage!$B$6:$AQ$53,AB$35)</f>
        <v>5</v>
      </c>
      <c r="AC16" s="178">
        <f t="shared" si="8"/>
        <v>0</v>
      </c>
      <c r="AD16" s="55">
        <f>VLOOKUP($B16,Coverage!$B$6:$AQ$53,AD$35)</f>
        <v>5</v>
      </c>
      <c r="AE16" s="56">
        <f>VLOOKUP($B16,Coverage!$B$6:$AQ$53,AE$35)</f>
        <v>5</v>
      </c>
      <c r="AF16" s="176">
        <f t="shared" si="9"/>
        <v>0</v>
      </c>
      <c r="AG16" s="58">
        <f>VLOOKUP($B16,Coverage!$B$6:$AQ$53,AG$35)</f>
        <v>5.08</v>
      </c>
      <c r="AH16" s="26">
        <f>VLOOKUP($B16,Coverage!$B$6:$AQ$53,AH$35)</f>
        <v>5</v>
      </c>
      <c r="AI16" s="178">
        <f t="shared" si="10"/>
        <v>-8.0000000000000071E-2</v>
      </c>
      <c r="AJ16" s="55">
        <f>VLOOKUP($B16,Coverage!$B$6:$AQ$53,AJ$35)</f>
        <v>5.35</v>
      </c>
      <c r="AK16" s="56">
        <f>VLOOKUP($B16,Coverage!$B$6:$AQ$53,AK$35)</f>
        <v>5</v>
      </c>
      <c r="AL16" s="176">
        <f t="shared" si="11"/>
        <v>-0.34999999999999964</v>
      </c>
      <c r="AM16" s="58">
        <f>VLOOKUP($B16,Coverage!$B$6:$AQ$53,AM$35)</f>
        <v>5.67</v>
      </c>
      <c r="AN16" s="26">
        <f>VLOOKUP($B16,Coverage!$B$6:$AQ$53,AN$35)</f>
        <v>6</v>
      </c>
      <c r="AO16" s="178">
        <f t="shared" si="12"/>
        <v>0.33000000000000007</v>
      </c>
      <c r="AP16" s="55">
        <f>VLOOKUP($B16,Coverage!$B$6:$AQ$53,AP$35)</f>
        <v>5.67</v>
      </c>
      <c r="AQ16" s="56">
        <f>VLOOKUP($B16,Coverage!$B$6:$AQ$53,AQ$35)</f>
        <v>5</v>
      </c>
      <c r="AR16" s="176">
        <f t="shared" si="13"/>
        <v>-0.66999999999999993</v>
      </c>
    </row>
    <row r="17" spans="2:44" x14ac:dyDescent="0.2">
      <c r="B17" s="54">
        <v>0.45833333333333298</v>
      </c>
      <c r="C17" s="48">
        <f>VLOOKUP($B17,Coverage!$B$6:$V$53,C$35)</f>
        <v>5.23</v>
      </c>
      <c r="D17" s="49">
        <f>VLOOKUP($B17,Coverage!$B$6:$V$53,D$35)</f>
        <v>5</v>
      </c>
      <c r="E17" s="176">
        <f t="shared" si="0"/>
        <v>-0.23000000000000043</v>
      </c>
      <c r="F17" s="58">
        <f>VLOOKUP($B17,Coverage!$B$6:$V$53,F$35)</f>
        <v>5.04</v>
      </c>
      <c r="G17" s="26">
        <f>VLOOKUP($B17,Coverage!$B$6:$V$53,G$35)</f>
        <v>5</v>
      </c>
      <c r="H17" s="178">
        <f t="shared" si="1"/>
        <v>-4.0000000000000036E-2</v>
      </c>
      <c r="I17" s="55">
        <f>VLOOKUP($B17,Coverage!$B$6:$V$53,I$35)</f>
        <v>5</v>
      </c>
      <c r="J17" s="56">
        <f>VLOOKUP($B17,Coverage!$B$6:$V$53,J$35)</f>
        <v>5</v>
      </c>
      <c r="K17" s="176">
        <f t="shared" si="2"/>
        <v>0</v>
      </c>
      <c r="L17" s="58">
        <f>VLOOKUP($B17,Coverage!$B$6:$V$53,L$35)</f>
        <v>5.01</v>
      </c>
      <c r="M17" s="26">
        <f>VLOOKUP($B17,Coverage!$B$6:$V$53,M$35)</f>
        <v>5</v>
      </c>
      <c r="N17" s="178">
        <f t="shared" si="3"/>
        <v>-9.9999999999997868E-3</v>
      </c>
      <c r="O17" s="55">
        <f>VLOOKUP($B17,Coverage!$B$6:$V$53,O$35)</f>
        <v>5.33</v>
      </c>
      <c r="P17" s="56">
        <f>VLOOKUP($B17,Coverage!$B$6:$V$53,P$35)</f>
        <v>5</v>
      </c>
      <c r="Q17" s="176">
        <f t="shared" si="4"/>
        <v>-0.33000000000000007</v>
      </c>
      <c r="R17" s="58">
        <f>VLOOKUP($B17,Coverage!$B$6:$V$53,R$35)</f>
        <v>5.39</v>
      </c>
      <c r="S17" s="26">
        <f>VLOOKUP($B17,Coverage!$B$6:$V$53,S$35)</f>
        <v>6</v>
      </c>
      <c r="T17" s="178">
        <f t="shared" si="5"/>
        <v>0.61000000000000032</v>
      </c>
      <c r="U17" s="55">
        <f>VLOOKUP($B17,Coverage!$B$6:$V$53,U$35)</f>
        <v>5.33</v>
      </c>
      <c r="V17" s="56">
        <f>VLOOKUP($B17,Coverage!$B$6:$V$53,V$35)</f>
        <v>5</v>
      </c>
      <c r="W17" s="176">
        <f t="shared" si="6"/>
        <v>-0.33000000000000007</v>
      </c>
      <c r="X17" s="48">
        <f>VLOOKUP($B17,Coverage!$B$6:$AQ$53,X$35)</f>
        <v>5.23</v>
      </c>
      <c r="Y17" s="49">
        <f>VLOOKUP($B17,Coverage!$B$6:$AQ$53,Y$35)</f>
        <v>5</v>
      </c>
      <c r="Z17" s="176">
        <f t="shared" si="7"/>
        <v>-0.23000000000000043</v>
      </c>
      <c r="AA17" s="58">
        <f>VLOOKUP($B17,Coverage!$B$6:$AQ$53,AA$35)</f>
        <v>5.04</v>
      </c>
      <c r="AB17" s="26">
        <f>VLOOKUP($B17,Coverage!$B$6:$AQ$53,AB$35)</f>
        <v>5</v>
      </c>
      <c r="AC17" s="178">
        <f t="shared" si="8"/>
        <v>-4.0000000000000036E-2</v>
      </c>
      <c r="AD17" s="55">
        <f>VLOOKUP($B17,Coverage!$B$6:$AQ$53,AD$35)</f>
        <v>5</v>
      </c>
      <c r="AE17" s="56">
        <f>VLOOKUP($B17,Coverage!$B$6:$AQ$53,AE$35)</f>
        <v>5</v>
      </c>
      <c r="AF17" s="176">
        <f t="shared" si="9"/>
        <v>0</v>
      </c>
      <c r="AG17" s="58">
        <f>VLOOKUP($B17,Coverage!$B$6:$AQ$53,AG$35)</f>
        <v>5.01</v>
      </c>
      <c r="AH17" s="26">
        <f>VLOOKUP($B17,Coverage!$B$6:$AQ$53,AH$35)</f>
        <v>5</v>
      </c>
      <c r="AI17" s="178">
        <f t="shared" si="10"/>
        <v>-9.9999999999997868E-3</v>
      </c>
      <c r="AJ17" s="55">
        <f>VLOOKUP($B17,Coverage!$B$6:$AQ$53,AJ$35)</f>
        <v>5.33</v>
      </c>
      <c r="AK17" s="56">
        <f>VLOOKUP($B17,Coverage!$B$6:$AQ$53,AK$35)</f>
        <v>5</v>
      </c>
      <c r="AL17" s="176">
        <f t="shared" si="11"/>
        <v>-0.33000000000000007</v>
      </c>
      <c r="AM17" s="58">
        <f>VLOOKUP($B17,Coverage!$B$6:$AQ$53,AM$35)</f>
        <v>5.39</v>
      </c>
      <c r="AN17" s="26">
        <f>VLOOKUP($B17,Coverage!$B$6:$AQ$53,AN$35)</f>
        <v>6</v>
      </c>
      <c r="AO17" s="178">
        <f t="shared" si="12"/>
        <v>0.61000000000000032</v>
      </c>
      <c r="AP17" s="55">
        <f>VLOOKUP($B17,Coverage!$B$6:$AQ$53,AP$35)</f>
        <v>5.33</v>
      </c>
      <c r="AQ17" s="56">
        <f>VLOOKUP($B17,Coverage!$B$6:$AQ$53,AQ$35)</f>
        <v>5</v>
      </c>
      <c r="AR17" s="176">
        <f t="shared" si="13"/>
        <v>-0.33000000000000007</v>
      </c>
    </row>
    <row r="18" spans="2:44" x14ac:dyDescent="0.2">
      <c r="B18" s="54">
        <v>0.5</v>
      </c>
      <c r="C18" s="48">
        <f>VLOOKUP($B18,Coverage!$B$6:$V$53,C$35)</f>
        <v>5</v>
      </c>
      <c r="D18" s="49">
        <f>VLOOKUP($B18,Coverage!$B$6:$V$53,D$35)</f>
        <v>5</v>
      </c>
      <c r="E18" s="176">
        <f t="shared" si="0"/>
        <v>0</v>
      </c>
      <c r="F18" s="58">
        <f>VLOOKUP($B18,Coverage!$B$6:$V$53,F$35)</f>
        <v>4.83</v>
      </c>
      <c r="G18" s="26">
        <f>VLOOKUP($B18,Coverage!$B$6:$V$53,G$35)</f>
        <v>5</v>
      </c>
      <c r="H18" s="178">
        <f t="shared" si="1"/>
        <v>0.16999999999999993</v>
      </c>
      <c r="I18" s="55">
        <f>VLOOKUP($B18,Coverage!$B$6:$V$53,I$35)</f>
        <v>4.9400000000000004</v>
      </c>
      <c r="J18" s="56">
        <f>VLOOKUP($B18,Coverage!$B$6:$V$53,J$35)</f>
        <v>5</v>
      </c>
      <c r="K18" s="176">
        <f t="shared" si="2"/>
        <v>5.9999999999999609E-2</v>
      </c>
      <c r="L18" s="58">
        <f>VLOOKUP($B18,Coverage!$B$6:$V$53,L$35)</f>
        <v>5</v>
      </c>
      <c r="M18" s="26">
        <f>VLOOKUP($B18,Coverage!$B$6:$V$53,M$35)</f>
        <v>5</v>
      </c>
      <c r="N18" s="178">
        <f t="shared" si="3"/>
        <v>0</v>
      </c>
      <c r="O18" s="55">
        <f>VLOOKUP($B18,Coverage!$B$6:$V$53,O$35)</f>
        <v>5.08</v>
      </c>
      <c r="P18" s="56">
        <f>VLOOKUP($B18,Coverage!$B$6:$V$53,P$35)</f>
        <v>5</v>
      </c>
      <c r="Q18" s="176">
        <f t="shared" si="4"/>
        <v>-8.0000000000000071E-2</v>
      </c>
      <c r="R18" s="58">
        <f>VLOOKUP($B18,Coverage!$B$6:$V$53,R$35)</f>
        <v>5.52</v>
      </c>
      <c r="S18" s="26">
        <f>VLOOKUP($B18,Coverage!$B$6:$V$53,S$35)</f>
        <v>6</v>
      </c>
      <c r="T18" s="178">
        <f t="shared" si="5"/>
        <v>0.48000000000000043</v>
      </c>
      <c r="U18" s="55">
        <f>VLOOKUP($B18,Coverage!$B$6:$V$53,U$35)</f>
        <v>5</v>
      </c>
      <c r="V18" s="56">
        <f>VLOOKUP($B18,Coverage!$B$6:$V$53,V$35)</f>
        <v>5</v>
      </c>
      <c r="W18" s="176">
        <f t="shared" si="6"/>
        <v>0</v>
      </c>
      <c r="X18" s="48">
        <f>VLOOKUP($B18,Coverage!$B$6:$AQ$53,X$35)</f>
        <v>5</v>
      </c>
      <c r="Y18" s="49">
        <f>VLOOKUP($B18,Coverage!$B$6:$AQ$53,Y$35)</f>
        <v>5</v>
      </c>
      <c r="Z18" s="176">
        <f t="shared" si="7"/>
        <v>0</v>
      </c>
      <c r="AA18" s="58">
        <f>VLOOKUP($B18,Coverage!$B$6:$AQ$53,AA$35)</f>
        <v>4.83</v>
      </c>
      <c r="AB18" s="26">
        <f>VLOOKUP($B18,Coverage!$B$6:$AQ$53,AB$35)</f>
        <v>5</v>
      </c>
      <c r="AC18" s="178">
        <f t="shared" si="8"/>
        <v>0.16999999999999993</v>
      </c>
      <c r="AD18" s="55">
        <f>VLOOKUP($B18,Coverage!$B$6:$AQ$53,AD$35)</f>
        <v>4.9400000000000004</v>
      </c>
      <c r="AE18" s="56">
        <f>VLOOKUP($B18,Coverage!$B$6:$AQ$53,AE$35)</f>
        <v>5</v>
      </c>
      <c r="AF18" s="176">
        <f t="shared" si="9"/>
        <v>5.9999999999999609E-2</v>
      </c>
      <c r="AG18" s="58">
        <f>VLOOKUP($B18,Coverage!$B$6:$AQ$53,AG$35)</f>
        <v>5</v>
      </c>
      <c r="AH18" s="26">
        <f>VLOOKUP($B18,Coverage!$B$6:$AQ$53,AH$35)</f>
        <v>5</v>
      </c>
      <c r="AI18" s="178">
        <f t="shared" si="10"/>
        <v>0</v>
      </c>
      <c r="AJ18" s="55">
        <f>VLOOKUP($B18,Coverage!$B$6:$AQ$53,AJ$35)</f>
        <v>5.08</v>
      </c>
      <c r="AK18" s="56">
        <f>VLOOKUP($B18,Coverage!$B$6:$AQ$53,AK$35)</f>
        <v>5</v>
      </c>
      <c r="AL18" s="176">
        <f t="shared" si="11"/>
        <v>-8.0000000000000071E-2</v>
      </c>
      <c r="AM18" s="58">
        <f>VLOOKUP($B18,Coverage!$B$6:$AQ$53,AM$35)</f>
        <v>5.52</v>
      </c>
      <c r="AN18" s="26">
        <f>VLOOKUP($B18,Coverage!$B$6:$AQ$53,AN$35)</f>
        <v>6</v>
      </c>
      <c r="AO18" s="178">
        <f t="shared" si="12"/>
        <v>0.48000000000000043</v>
      </c>
      <c r="AP18" s="55">
        <f>VLOOKUP($B18,Coverage!$B$6:$AQ$53,AP$35)</f>
        <v>5</v>
      </c>
      <c r="AQ18" s="56">
        <f>VLOOKUP($B18,Coverage!$B$6:$AQ$53,AQ$35)</f>
        <v>5</v>
      </c>
      <c r="AR18" s="176">
        <f t="shared" si="13"/>
        <v>0</v>
      </c>
    </row>
    <row r="19" spans="2:44" x14ac:dyDescent="0.2">
      <c r="B19" s="54">
        <v>0.54166666666666696</v>
      </c>
      <c r="C19" s="48">
        <f>VLOOKUP($B19,Coverage!$B$6:$V$53,C$35)</f>
        <v>4.67</v>
      </c>
      <c r="D19" s="49">
        <f>VLOOKUP($B19,Coverage!$B$6:$V$53,D$35)</f>
        <v>5</v>
      </c>
      <c r="E19" s="176">
        <f t="shared" si="0"/>
        <v>0.33000000000000007</v>
      </c>
      <c r="F19" s="58">
        <f>VLOOKUP($B19,Coverage!$B$6:$V$53,F$35)</f>
        <v>4.74</v>
      </c>
      <c r="G19" s="26">
        <f>VLOOKUP($B19,Coverage!$B$6:$V$53,G$35)</f>
        <v>4</v>
      </c>
      <c r="H19" s="178">
        <f t="shared" si="1"/>
        <v>-0.74000000000000021</v>
      </c>
      <c r="I19" s="55">
        <f>VLOOKUP($B19,Coverage!$B$6:$V$53,I$35)</f>
        <v>5</v>
      </c>
      <c r="J19" s="56">
        <f>VLOOKUP($B19,Coverage!$B$6:$V$53,J$35)</f>
        <v>4</v>
      </c>
      <c r="K19" s="176">
        <f t="shared" si="2"/>
        <v>-1</v>
      </c>
      <c r="L19" s="58">
        <f>VLOOKUP($B19,Coverage!$B$6:$V$53,L$35)</f>
        <v>4.84</v>
      </c>
      <c r="M19" s="26">
        <f>VLOOKUP($B19,Coverage!$B$6:$V$53,M$35)</f>
        <v>4</v>
      </c>
      <c r="N19" s="178">
        <f t="shared" si="3"/>
        <v>-0.83999999999999986</v>
      </c>
      <c r="O19" s="55">
        <f>VLOOKUP($B19,Coverage!$B$6:$V$53,O$35)</f>
        <v>5</v>
      </c>
      <c r="P19" s="56">
        <f>VLOOKUP($B19,Coverage!$B$6:$V$53,P$35)</f>
        <v>5</v>
      </c>
      <c r="Q19" s="176">
        <f t="shared" si="4"/>
        <v>0</v>
      </c>
      <c r="R19" s="58">
        <f>VLOOKUP($B19,Coverage!$B$6:$V$53,R$35)</f>
        <v>5.36</v>
      </c>
      <c r="S19" s="26">
        <f>VLOOKUP($B19,Coverage!$B$6:$V$53,S$35)</f>
        <v>5</v>
      </c>
      <c r="T19" s="178">
        <f t="shared" si="5"/>
        <v>-0.36000000000000032</v>
      </c>
      <c r="U19" s="55">
        <f>VLOOKUP($B19,Coverage!$B$6:$V$53,U$35)</f>
        <v>4.8899999999999997</v>
      </c>
      <c r="V19" s="56">
        <f>VLOOKUP($B19,Coverage!$B$6:$V$53,V$35)</f>
        <v>4</v>
      </c>
      <c r="W19" s="176">
        <f t="shared" si="6"/>
        <v>-0.88999999999999968</v>
      </c>
      <c r="X19" s="48">
        <f>VLOOKUP($B19,Coverage!$B$6:$AQ$53,X$35)</f>
        <v>4.67</v>
      </c>
      <c r="Y19" s="49">
        <f>VLOOKUP($B19,Coverage!$B$6:$AQ$53,Y$35)</f>
        <v>4</v>
      </c>
      <c r="Z19" s="176">
        <f t="shared" si="7"/>
        <v>-0.66999999999999993</v>
      </c>
      <c r="AA19" s="58">
        <f>VLOOKUP($B19,Coverage!$B$6:$AQ$53,AA$35)</f>
        <v>4.74</v>
      </c>
      <c r="AB19" s="26">
        <f>VLOOKUP($B19,Coverage!$B$6:$AQ$53,AB$35)</f>
        <v>5</v>
      </c>
      <c r="AC19" s="178">
        <f t="shared" si="8"/>
        <v>0.25999999999999979</v>
      </c>
      <c r="AD19" s="55">
        <f>VLOOKUP($B19,Coverage!$B$6:$AQ$53,AD$35)</f>
        <v>5</v>
      </c>
      <c r="AE19" s="56">
        <f>VLOOKUP($B19,Coverage!$B$6:$AQ$53,AE$35)</f>
        <v>4</v>
      </c>
      <c r="AF19" s="176">
        <f t="shared" si="9"/>
        <v>-1</v>
      </c>
      <c r="AG19" s="58">
        <f>VLOOKUP($B19,Coverage!$B$6:$AQ$53,AG$35)</f>
        <v>4.84</v>
      </c>
      <c r="AH19" s="26">
        <f>VLOOKUP($B19,Coverage!$B$6:$AQ$53,AH$35)</f>
        <v>5</v>
      </c>
      <c r="AI19" s="178">
        <f t="shared" si="10"/>
        <v>0.16000000000000014</v>
      </c>
      <c r="AJ19" s="55">
        <f>VLOOKUP($B19,Coverage!$B$6:$AQ$53,AJ$35)</f>
        <v>5</v>
      </c>
      <c r="AK19" s="56">
        <f>VLOOKUP($B19,Coverage!$B$6:$AQ$53,AK$35)</f>
        <v>4</v>
      </c>
      <c r="AL19" s="176">
        <f t="shared" si="11"/>
        <v>-1</v>
      </c>
      <c r="AM19" s="58">
        <f>VLOOKUP($B19,Coverage!$B$6:$AQ$53,AM$35)</f>
        <v>5.36</v>
      </c>
      <c r="AN19" s="26">
        <f>VLOOKUP($B19,Coverage!$B$6:$AQ$53,AN$35)</f>
        <v>5</v>
      </c>
      <c r="AO19" s="178">
        <f t="shared" si="12"/>
        <v>-0.36000000000000032</v>
      </c>
      <c r="AP19" s="55">
        <f>VLOOKUP($B19,Coverage!$B$6:$AQ$53,AP$35)</f>
        <v>4.8899999999999997</v>
      </c>
      <c r="AQ19" s="56">
        <f>VLOOKUP($B19,Coverage!$B$6:$AQ$53,AQ$35)</f>
        <v>5</v>
      </c>
      <c r="AR19" s="176">
        <f t="shared" si="13"/>
        <v>0.11000000000000032</v>
      </c>
    </row>
    <row r="20" spans="2:44" x14ac:dyDescent="0.2">
      <c r="B20" s="54">
        <v>0.58333333333333304</v>
      </c>
      <c r="C20" s="48">
        <f>VLOOKUP($B20,Coverage!$B$6:$V$53,C$35)</f>
        <v>4.62</v>
      </c>
      <c r="D20" s="49">
        <f>VLOOKUP($B20,Coverage!$B$6:$V$53,D$35)</f>
        <v>5</v>
      </c>
      <c r="E20" s="176">
        <f t="shared" si="0"/>
        <v>0.37999999999999989</v>
      </c>
      <c r="F20" s="58">
        <f>VLOOKUP($B20,Coverage!$B$6:$V$53,F$35)</f>
        <v>4.72</v>
      </c>
      <c r="G20" s="26">
        <f>VLOOKUP($B20,Coverage!$B$6:$V$53,G$35)</f>
        <v>4</v>
      </c>
      <c r="H20" s="178">
        <f t="shared" si="1"/>
        <v>-0.71999999999999975</v>
      </c>
      <c r="I20" s="55">
        <f>VLOOKUP($B20,Coverage!$B$6:$V$53,I$35)</f>
        <v>4.67</v>
      </c>
      <c r="J20" s="56">
        <f>VLOOKUP($B20,Coverage!$B$6:$V$53,J$35)</f>
        <v>4</v>
      </c>
      <c r="K20" s="176">
        <f t="shared" si="2"/>
        <v>-0.66999999999999993</v>
      </c>
      <c r="L20" s="58">
        <f>VLOOKUP($B20,Coverage!$B$6:$V$53,L$35)</f>
        <v>4.79</v>
      </c>
      <c r="M20" s="26">
        <f>VLOOKUP($B20,Coverage!$B$6:$V$53,M$35)</f>
        <v>4</v>
      </c>
      <c r="N20" s="178">
        <f t="shared" si="3"/>
        <v>-0.79</v>
      </c>
      <c r="O20" s="55">
        <f>VLOOKUP($B20,Coverage!$B$6:$V$53,O$35)</f>
        <v>4.8600000000000003</v>
      </c>
      <c r="P20" s="56">
        <f>VLOOKUP($B20,Coverage!$B$6:$V$53,P$35)</f>
        <v>5</v>
      </c>
      <c r="Q20" s="176">
        <f t="shared" si="4"/>
        <v>0.13999999999999968</v>
      </c>
      <c r="R20" s="58">
        <f>VLOOKUP($B20,Coverage!$B$6:$V$53,R$35)</f>
        <v>5.3</v>
      </c>
      <c r="S20" s="26">
        <f>VLOOKUP($B20,Coverage!$B$6:$V$53,S$35)</f>
        <v>5</v>
      </c>
      <c r="T20" s="178">
        <f t="shared" si="5"/>
        <v>-0.29999999999999982</v>
      </c>
      <c r="U20" s="55">
        <f>VLOOKUP($B20,Coverage!$B$6:$V$53,U$35)</f>
        <v>4.67</v>
      </c>
      <c r="V20" s="56">
        <f>VLOOKUP($B20,Coverage!$B$6:$V$53,V$35)</f>
        <v>4</v>
      </c>
      <c r="W20" s="176">
        <f t="shared" si="6"/>
        <v>-0.66999999999999993</v>
      </c>
      <c r="X20" s="48">
        <f>VLOOKUP($B20,Coverage!$B$6:$AQ$53,X$35)</f>
        <v>4.62</v>
      </c>
      <c r="Y20" s="49">
        <f>VLOOKUP($B20,Coverage!$B$6:$AQ$53,Y$35)</f>
        <v>4</v>
      </c>
      <c r="Z20" s="176">
        <f t="shared" si="7"/>
        <v>-0.62000000000000011</v>
      </c>
      <c r="AA20" s="58">
        <f>VLOOKUP($B20,Coverage!$B$6:$AQ$53,AA$35)</f>
        <v>4.72</v>
      </c>
      <c r="AB20" s="26">
        <f>VLOOKUP($B20,Coverage!$B$6:$AQ$53,AB$35)</f>
        <v>5</v>
      </c>
      <c r="AC20" s="178">
        <f t="shared" si="8"/>
        <v>0.28000000000000025</v>
      </c>
      <c r="AD20" s="55">
        <f>VLOOKUP($B20,Coverage!$B$6:$AQ$53,AD$35)</f>
        <v>4.67</v>
      </c>
      <c r="AE20" s="56">
        <f>VLOOKUP($B20,Coverage!$B$6:$AQ$53,AE$35)</f>
        <v>4</v>
      </c>
      <c r="AF20" s="176">
        <f t="shared" si="9"/>
        <v>-0.66999999999999993</v>
      </c>
      <c r="AG20" s="58">
        <f>VLOOKUP($B20,Coverage!$B$6:$AQ$53,AG$35)</f>
        <v>4.79</v>
      </c>
      <c r="AH20" s="26">
        <f>VLOOKUP($B20,Coverage!$B$6:$AQ$53,AH$35)</f>
        <v>5</v>
      </c>
      <c r="AI20" s="178">
        <f t="shared" si="10"/>
        <v>0.20999999999999996</v>
      </c>
      <c r="AJ20" s="55">
        <f>VLOOKUP($B20,Coverage!$B$6:$AQ$53,AJ$35)</f>
        <v>4.8600000000000003</v>
      </c>
      <c r="AK20" s="56">
        <f>VLOOKUP($B20,Coverage!$B$6:$AQ$53,AK$35)</f>
        <v>4</v>
      </c>
      <c r="AL20" s="176">
        <f t="shared" si="11"/>
        <v>-0.86000000000000032</v>
      </c>
      <c r="AM20" s="58">
        <f>VLOOKUP($B20,Coverage!$B$6:$AQ$53,AM$35)</f>
        <v>5.3</v>
      </c>
      <c r="AN20" s="26">
        <f>VLOOKUP($B20,Coverage!$B$6:$AQ$53,AN$35)</f>
        <v>5</v>
      </c>
      <c r="AO20" s="178">
        <f t="shared" si="12"/>
        <v>-0.29999999999999982</v>
      </c>
      <c r="AP20" s="55">
        <f>VLOOKUP($B20,Coverage!$B$6:$AQ$53,AP$35)</f>
        <v>4.67</v>
      </c>
      <c r="AQ20" s="56">
        <f>VLOOKUP($B20,Coverage!$B$6:$AQ$53,AQ$35)</f>
        <v>5</v>
      </c>
      <c r="AR20" s="176">
        <f t="shared" si="13"/>
        <v>0.33000000000000007</v>
      </c>
    </row>
    <row r="21" spans="2:44" x14ac:dyDescent="0.2">
      <c r="B21" s="54">
        <v>0.625</v>
      </c>
      <c r="C21" s="48">
        <f>VLOOKUP($B21,Coverage!$B$6:$V$53,C$35)</f>
        <v>4.33</v>
      </c>
      <c r="D21" s="49">
        <f>VLOOKUP($B21,Coverage!$B$6:$V$53,D$35)</f>
        <v>4</v>
      </c>
      <c r="E21" s="176">
        <f t="shared" si="0"/>
        <v>-0.33000000000000007</v>
      </c>
      <c r="F21" s="58">
        <f>VLOOKUP($B21,Coverage!$B$6:$V$53,F$35)</f>
        <v>4.67</v>
      </c>
      <c r="G21" s="26">
        <f>VLOOKUP($B21,Coverage!$B$6:$V$53,G$35)</f>
        <v>4</v>
      </c>
      <c r="H21" s="178">
        <f t="shared" si="1"/>
        <v>-0.66999999999999993</v>
      </c>
      <c r="I21" s="55">
        <f>VLOOKUP($B21,Coverage!$B$6:$V$53,I$35)</f>
        <v>4.67</v>
      </c>
      <c r="J21" s="56">
        <f>VLOOKUP($B21,Coverage!$B$6:$V$53,J$35)</f>
        <v>5</v>
      </c>
      <c r="K21" s="176">
        <f t="shared" si="2"/>
        <v>0.33000000000000007</v>
      </c>
      <c r="L21" s="58">
        <f>VLOOKUP($B21,Coverage!$B$6:$V$53,L$35)</f>
        <v>4.6900000000000004</v>
      </c>
      <c r="M21" s="26">
        <f>VLOOKUP($B21,Coverage!$B$6:$V$53,M$35)</f>
        <v>4</v>
      </c>
      <c r="N21" s="178">
        <f t="shared" si="3"/>
        <v>-0.69000000000000039</v>
      </c>
      <c r="O21" s="55">
        <f>VLOOKUP($B21,Coverage!$B$6:$V$53,O$35)</f>
        <v>4.75</v>
      </c>
      <c r="P21" s="56">
        <f>VLOOKUP($B21,Coverage!$B$6:$V$53,P$35)</f>
        <v>5</v>
      </c>
      <c r="Q21" s="176">
        <f t="shared" si="4"/>
        <v>0.25</v>
      </c>
      <c r="R21" s="58">
        <f>VLOOKUP($B21,Coverage!$B$6:$V$53,R$35)</f>
        <v>5.01</v>
      </c>
      <c r="S21" s="26">
        <f>VLOOKUP($B21,Coverage!$B$6:$V$53,S$35)</f>
        <v>5</v>
      </c>
      <c r="T21" s="178">
        <f t="shared" si="5"/>
        <v>-9.9999999999997868E-3</v>
      </c>
      <c r="U21" s="55">
        <f>VLOOKUP($B21,Coverage!$B$6:$V$53,U$35)</f>
        <v>4.6100000000000003</v>
      </c>
      <c r="V21" s="56">
        <f>VLOOKUP($B21,Coverage!$B$6:$V$53,V$35)</f>
        <v>5</v>
      </c>
      <c r="W21" s="176">
        <f t="shared" si="6"/>
        <v>0.38999999999999968</v>
      </c>
      <c r="X21" s="48">
        <f>VLOOKUP($B21,Coverage!$B$6:$AQ$53,X$35)</f>
        <v>4.33</v>
      </c>
      <c r="Y21" s="49">
        <f>VLOOKUP($B21,Coverage!$B$6:$AQ$53,Y$35)</f>
        <v>4</v>
      </c>
      <c r="Z21" s="176">
        <f t="shared" si="7"/>
        <v>-0.33000000000000007</v>
      </c>
      <c r="AA21" s="58">
        <f>VLOOKUP($B21,Coverage!$B$6:$AQ$53,AA$35)</f>
        <v>4.67</v>
      </c>
      <c r="AB21" s="26">
        <f>VLOOKUP($B21,Coverage!$B$6:$AQ$53,AB$35)</f>
        <v>4</v>
      </c>
      <c r="AC21" s="178">
        <f t="shared" si="8"/>
        <v>-0.66999999999999993</v>
      </c>
      <c r="AD21" s="55">
        <f>VLOOKUP($B21,Coverage!$B$6:$AQ$53,AD$35)</f>
        <v>4.67</v>
      </c>
      <c r="AE21" s="56">
        <f>VLOOKUP($B21,Coverage!$B$6:$AQ$53,AE$35)</f>
        <v>5</v>
      </c>
      <c r="AF21" s="176">
        <f t="shared" si="9"/>
        <v>0.33000000000000007</v>
      </c>
      <c r="AG21" s="58">
        <f>VLOOKUP($B21,Coverage!$B$6:$AQ$53,AG$35)</f>
        <v>4.6900000000000004</v>
      </c>
      <c r="AH21" s="26">
        <f>VLOOKUP($B21,Coverage!$B$6:$AQ$53,AH$35)</f>
        <v>5</v>
      </c>
      <c r="AI21" s="178">
        <f t="shared" si="10"/>
        <v>0.30999999999999961</v>
      </c>
      <c r="AJ21" s="55">
        <f>VLOOKUP($B21,Coverage!$B$6:$AQ$53,AJ$35)</f>
        <v>4.75</v>
      </c>
      <c r="AK21" s="56">
        <f>VLOOKUP($B21,Coverage!$B$6:$AQ$53,AK$35)</f>
        <v>5</v>
      </c>
      <c r="AL21" s="176">
        <f t="shared" si="11"/>
        <v>0.25</v>
      </c>
      <c r="AM21" s="58">
        <f>VLOOKUP($B21,Coverage!$B$6:$AQ$53,AM$35)</f>
        <v>5.01</v>
      </c>
      <c r="AN21" s="26">
        <f>VLOOKUP($B21,Coverage!$B$6:$AQ$53,AN$35)</f>
        <v>5</v>
      </c>
      <c r="AO21" s="178">
        <f t="shared" si="12"/>
        <v>-9.9999999999997868E-3</v>
      </c>
      <c r="AP21" s="55">
        <f>VLOOKUP($B21,Coverage!$B$6:$AQ$53,AP$35)</f>
        <v>4.6100000000000003</v>
      </c>
      <c r="AQ21" s="56">
        <f>VLOOKUP($B21,Coverage!$B$6:$AQ$53,AQ$35)</f>
        <v>5</v>
      </c>
      <c r="AR21" s="176">
        <f t="shared" si="13"/>
        <v>0.38999999999999968</v>
      </c>
    </row>
    <row r="22" spans="2:44" x14ac:dyDescent="0.2">
      <c r="B22" s="54">
        <v>0.66666666666666696</v>
      </c>
      <c r="C22" s="48">
        <f>VLOOKUP($B22,Coverage!$B$6:$V$53,C$35)</f>
        <v>4.33</v>
      </c>
      <c r="D22" s="49">
        <f>VLOOKUP($B22,Coverage!$B$6:$V$53,D$35)</f>
        <v>4</v>
      </c>
      <c r="E22" s="176">
        <f t="shared" si="0"/>
        <v>-0.33000000000000007</v>
      </c>
      <c r="F22" s="58">
        <f>VLOOKUP($B22,Coverage!$B$6:$V$53,F$35)</f>
        <v>4.33</v>
      </c>
      <c r="G22" s="26">
        <f>VLOOKUP($B22,Coverage!$B$6:$V$53,G$35)</f>
        <v>4</v>
      </c>
      <c r="H22" s="178">
        <f t="shared" si="1"/>
        <v>-0.33000000000000007</v>
      </c>
      <c r="I22" s="55">
        <f>VLOOKUP($B22,Coverage!$B$6:$V$53,I$35)</f>
        <v>4.6900000000000004</v>
      </c>
      <c r="J22" s="56">
        <f>VLOOKUP($B22,Coverage!$B$6:$V$53,J$35)</f>
        <v>5</v>
      </c>
      <c r="K22" s="176">
        <f t="shared" si="2"/>
        <v>0.30999999999999961</v>
      </c>
      <c r="L22" s="58">
        <f>VLOOKUP($B22,Coverage!$B$6:$V$53,L$35)</f>
        <v>4.67</v>
      </c>
      <c r="M22" s="26">
        <f>VLOOKUP($B22,Coverage!$B$6:$V$53,M$35)</f>
        <v>4</v>
      </c>
      <c r="N22" s="178">
        <f t="shared" si="3"/>
        <v>-0.66999999999999993</v>
      </c>
      <c r="O22" s="55">
        <f>VLOOKUP($B22,Coverage!$B$6:$V$53,O$35)</f>
        <v>4.9400000000000004</v>
      </c>
      <c r="P22" s="56">
        <f>VLOOKUP($B22,Coverage!$B$6:$V$53,P$35)</f>
        <v>5</v>
      </c>
      <c r="Q22" s="176">
        <f t="shared" si="4"/>
        <v>5.9999999999999609E-2</v>
      </c>
      <c r="R22" s="58">
        <f>VLOOKUP($B22,Coverage!$B$6:$V$53,R$35)</f>
        <v>5.03</v>
      </c>
      <c r="S22" s="26">
        <f>VLOOKUP($B22,Coverage!$B$6:$V$53,S$35)</f>
        <v>5</v>
      </c>
      <c r="T22" s="178">
        <f t="shared" si="5"/>
        <v>-3.0000000000000249E-2</v>
      </c>
      <c r="U22" s="55">
        <f>VLOOKUP($B22,Coverage!$B$6:$V$53,U$35)</f>
        <v>4.67</v>
      </c>
      <c r="V22" s="56">
        <f>VLOOKUP($B22,Coverage!$B$6:$V$53,V$35)</f>
        <v>5</v>
      </c>
      <c r="W22" s="176">
        <f t="shared" si="6"/>
        <v>0.33000000000000007</v>
      </c>
      <c r="X22" s="48">
        <f>VLOOKUP($B22,Coverage!$B$6:$AQ$53,X$35)</f>
        <v>4.33</v>
      </c>
      <c r="Y22" s="49">
        <f>VLOOKUP($B22,Coverage!$B$6:$AQ$53,Y$35)</f>
        <v>4</v>
      </c>
      <c r="Z22" s="176">
        <f t="shared" si="7"/>
        <v>-0.33000000000000007</v>
      </c>
      <c r="AA22" s="58">
        <f>VLOOKUP($B22,Coverage!$B$6:$AQ$53,AA$35)</f>
        <v>4.33</v>
      </c>
      <c r="AB22" s="26">
        <f>VLOOKUP($B22,Coverage!$B$6:$AQ$53,AB$35)</f>
        <v>4</v>
      </c>
      <c r="AC22" s="178">
        <f t="shared" si="8"/>
        <v>-0.33000000000000007</v>
      </c>
      <c r="AD22" s="55">
        <f>VLOOKUP($B22,Coverage!$B$6:$AQ$53,AD$35)</f>
        <v>4.6900000000000004</v>
      </c>
      <c r="AE22" s="56">
        <f>VLOOKUP($B22,Coverage!$B$6:$AQ$53,AE$35)</f>
        <v>5</v>
      </c>
      <c r="AF22" s="176">
        <f t="shared" si="9"/>
        <v>0.30999999999999961</v>
      </c>
      <c r="AG22" s="58">
        <f>VLOOKUP($B22,Coverage!$B$6:$AQ$53,AG$35)</f>
        <v>4.67</v>
      </c>
      <c r="AH22" s="26">
        <f>VLOOKUP($B22,Coverage!$B$6:$AQ$53,AH$35)</f>
        <v>5</v>
      </c>
      <c r="AI22" s="178">
        <f t="shared" si="10"/>
        <v>0.33000000000000007</v>
      </c>
      <c r="AJ22" s="55">
        <f>VLOOKUP($B22,Coverage!$B$6:$AQ$53,AJ$35)</f>
        <v>4.9400000000000004</v>
      </c>
      <c r="AK22" s="56">
        <f>VLOOKUP($B22,Coverage!$B$6:$AQ$53,AK$35)</f>
        <v>5</v>
      </c>
      <c r="AL22" s="176">
        <f t="shared" si="11"/>
        <v>5.9999999999999609E-2</v>
      </c>
      <c r="AM22" s="58">
        <f>VLOOKUP($B22,Coverage!$B$6:$AQ$53,AM$35)</f>
        <v>5.03</v>
      </c>
      <c r="AN22" s="26">
        <f>VLOOKUP($B22,Coverage!$B$6:$AQ$53,AN$35)</f>
        <v>5</v>
      </c>
      <c r="AO22" s="178">
        <f t="shared" si="12"/>
        <v>-3.0000000000000249E-2</v>
      </c>
      <c r="AP22" s="55">
        <f>VLOOKUP($B22,Coverage!$B$6:$AQ$53,AP$35)</f>
        <v>4.67</v>
      </c>
      <c r="AQ22" s="56">
        <f>VLOOKUP($B22,Coverage!$B$6:$AQ$53,AQ$35)</f>
        <v>5</v>
      </c>
      <c r="AR22" s="176">
        <f t="shared" si="13"/>
        <v>0.33000000000000007</v>
      </c>
    </row>
    <row r="23" spans="2:44" x14ac:dyDescent="0.2">
      <c r="B23" s="54">
        <v>0.70833333333333304</v>
      </c>
      <c r="C23" s="48">
        <f>VLOOKUP($B23,Coverage!$B$6:$V$53,C$35)</f>
        <v>4.33</v>
      </c>
      <c r="D23" s="49">
        <f>VLOOKUP($B23,Coverage!$B$6:$V$53,D$35)</f>
        <v>4</v>
      </c>
      <c r="E23" s="176">
        <f t="shared" si="0"/>
        <v>-0.33000000000000007</v>
      </c>
      <c r="F23" s="58">
        <f>VLOOKUP($B23,Coverage!$B$6:$V$53,F$35)</f>
        <v>4.17</v>
      </c>
      <c r="G23" s="26">
        <f>VLOOKUP($B23,Coverage!$B$6:$V$53,G$35)</f>
        <v>4</v>
      </c>
      <c r="H23" s="178">
        <f t="shared" si="1"/>
        <v>-0.16999999999999993</v>
      </c>
      <c r="I23" s="55">
        <f>VLOOKUP($B23,Coverage!$B$6:$V$53,I$35)</f>
        <v>4.67</v>
      </c>
      <c r="J23" s="56">
        <f>VLOOKUP($B23,Coverage!$B$6:$V$53,J$35)</f>
        <v>5</v>
      </c>
      <c r="K23" s="176">
        <f t="shared" si="2"/>
        <v>0.33000000000000007</v>
      </c>
      <c r="L23" s="58">
        <f>VLOOKUP($B23,Coverage!$B$6:$V$53,L$35)</f>
        <v>4.67</v>
      </c>
      <c r="M23" s="26">
        <f>VLOOKUP($B23,Coverage!$B$6:$V$53,M$35)</f>
        <v>4</v>
      </c>
      <c r="N23" s="178">
        <f t="shared" si="3"/>
        <v>-0.66999999999999993</v>
      </c>
      <c r="O23" s="55">
        <f>VLOOKUP($B23,Coverage!$B$6:$V$53,O$35)</f>
        <v>4.88</v>
      </c>
      <c r="P23" s="56">
        <f>VLOOKUP($B23,Coverage!$B$6:$V$53,P$35)</f>
        <v>5</v>
      </c>
      <c r="Q23" s="176">
        <f t="shared" si="4"/>
        <v>0.12000000000000011</v>
      </c>
      <c r="R23" s="58">
        <f>VLOOKUP($B23,Coverage!$B$6:$V$53,R$35)</f>
        <v>5</v>
      </c>
      <c r="S23" s="26">
        <f>VLOOKUP($B23,Coverage!$B$6:$V$53,S$35)</f>
        <v>5</v>
      </c>
      <c r="T23" s="178">
        <f t="shared" si="5"/>
        <v>0</v>
      </c>
      <c r="U23" s="55">
        <f>VLOOKUP($B23,Coverage!$B$6:$V$53,U$35)</f>
        <v>4.67</v>
      </c>
      <c r="V23" s="56">
        <f>VLOOKUP($B23,Coverage!$B$6:$V$53,V$35)</f>
        <v>5</v>
      </c>
      <c r="W23" s="176">
        <f t="shared" si="6"/>
        <v>0.33000000000000007</v>
      </c>
      <c r="X23" s="48">
        <f>VLOOKUP($B23,Coverage!$B$6:$AQ$53,X$35)</f>
        <v>4.33</v>
      </c>
      <c r="Y23" s="49">
        <f>VLOOKUP($B23,Coverage!$B$6:$AQ$53,Y$35)</f>
        <v>4</v>
      </c>
      <c r="Z23" s="176">
        <f t="shared" si="7"/>
        <v>-0.33000000000000007</v>
      </c>
      <c r="AA23" s="58">
        <f>VLOOKUP($B23,Coverage!$B$6:$AQ$53,AA$35)</f>
        <v>4.17</v>
      </c>
      <c r="AB23" s="26">
        <f>VLOOKUP($B23,Coverage!$B$6:$AQ$53,AB$35)</f>
        <v>4</v>
      </c>
      <c r="AC23" s="178">
        <f t="shared" si="8"/>
        <v>-0.16999999999999993</v>
      </c>
      <c r="AD23" s="55">
        <f>VLOOKUP($B23,Coverage!$B$6:$AQ$53,AD$35)</f>
        <v>4.67</v>
      </c>
      <c r="AE23" s="56">
        <f>VLOOKUP($B23,Coverage!$B$6:$AQ$53,AE$35)</f>
        <v>5</v>
      </c>
      <c r="AF23" s="176">
        <f t="shared" si="9"/>
        <v>0.33000000000000007</v>
      </c>
      <c r="AG23" s="58">
        <f>VLOOKUP($B23,Coverage!$B$6:$AQ$53,AG$35)</f>
        <v>4.67</v>
      </c>
      <c r="AH23" s="26">
        <f>VLOOKUP($B23,Coverage!$B$6:$AQ$53,AH$35)</f>
        <v>5</v>
      </c>
      <c r="AI23" s="178">
        <f t="shared" si="10"/>
        <v>0.33000000000000007</v>
      </c>
      <c r="AJ23" s="55">
        <f>VLOOKUP($B23,Coverage!$B$6:$AQ$53,AJ$35)</f>
        <v>4.88</v>
      </c>
      <c r="AK23" s="56">
        <f>VLOOKUP($B23,Coverage!$B$6:$AQ$53,AK$35)</f>
        <v>5</v>
      </c>
      <c r="AL23" s="176">
        <f t="shared" si="11"/>
        <v>0.12000000000000011</v>
      </c>
      <c r="AM23" s="58">
        <f>VLOOKUP($B23,Coverage!$B$6:$AQ$53,AM$35)</f>
        <v>5</v>
      </c>
      <c r="AN23" s="26">
        <f>VLOOKUP($B23,Coverage!$B$6:$AQ$53,AN$35)</f>
        <v>5</v>
      </c>
      <c r="AO23" s="178">
        <f t="shared" si="12"/>
        <v>0</v>
      </c>
      <c r="AP23" s="55">
        <f>VLOOKUP($B23,Coverage!$B$6:$AQ$53,AP$35)</f>
        <v>4.67</v>
      </c>
      <c r="AQ23" s="56">
        <f>VLOOKUP($B23,Coverage!$B$6:$AQ$53,AQ$35)</f>
        <v>5</v>
      </c>
      <c r="AR23" s="176">
        <f t="shared" si="13"/>
        <v>0.33000000000000007</v>
      </c>
    </row>
    <row r="24" spans="2:44" x14ac:dyDescent="0.2">
      <c r="B24" s="54">
        <v>0.75</v>
      </c>
      <c r="C24" s="48">
        <f>VLOOKUP($B24,Coverage!$B$6:$V$53,C$35)</f>
        <v>4.33</v>
      </c>
      <c r="D24" s="49">
        <f>VLOOKUP($B24,Coverage!$B$6:$V$53,D$35)</f>
        <v>4</v>
      </c>
      <c r="E24" s="176">
        <f t="shared" si="0"/>
        <v>-0.33000000000000007</v>
      </c>
      <c r="F24" s="58">
        <f>VLOOKUP($B24,Coverage!$B$6:$V$53,F$35)</f>
        <v>4.33</v>
      </c>
      <c r="G24" s="26">
        <f>VLOOKUP($B24,Coverage!$B$6:$V$53,G$35)</f>
        <v>4</v>
      </c>
      <c r="H24" s="178">
        <f t="shared" si="1"/>
        <v>-0.33000000000000007</v>
      </c>
      <c r="I24" s="55">
        <f>VLOOKUP($B24,Coverage!$B$6:$V$53,I$35)</f>
        <v>4.6100000000000003</v>
      </c>
      <c r="J24" s="56">
        <f>VLOOKUP($B24,Coverage!$B$6:$V$53,J$35)</f>
        <v>5</v>
      </c>
      <c r="K24" s="176">
        <f t="shared" si="2"/>
        <v>0.38999999999999968</v>
      </c>
      <c r="L24" s="58">
        <f>VLOOKUP($B24,Coverage!$B$6:$V$53,L$35)</f>
        <v>4.67</v>
      </c>
      <c r="M24" s="26">
        <f>VLOOKUP($B24,Coverage!$B$6:$V$53,M$35)</f>
        <v>4</v>
      </c>
      <c r="N24" s="178">
        <f t="shared" si="3"/>
        <v>-0.66999999999999993</v>
      </c>
      <c r="O24" s="55">
        <f>VLOOKUP($B24,Coverage!$B$6:$V$53,O$35)</f>
        <v>5</v>
      </c>
      <c r="P24" s="56">
        <f>VLOOKUP($B24,Coverage!$B$6:$V$53,P$35)</f>
        <v>5</v>
      </c>
      <c r="Q24" s="176">
        <f t="shared" si="4"/>
        <v>0</v>
      </c>
      <c r="R24" s="58">
        <f>VLOOKUP($B24,Coverage!$B$6:$V$53,R$35)</f>
        <v>5</v>
      </c>
      <c r="S24" s="26">
        <f>VLOOKUP($B24,Coverage!$B$6:$V$53,S$35)</f>
        <v>5</v>
      </c>
      <c r="T24" s="178">
        <f t="shared" si="5"/>
        <v>0</v>
      </c>
      <c r="U24" s="55">
        <f>VLOOKUP($B24,Coverage!$B$6:$V$53,U$35)</f>
        <v>4.92</v>
      </c>
      <c r="V24" s="56">
        <f>VLOOKUP($B24,Coverage!$B$6:$V$53,V$35)</f>
        <v>5</v>
      </c>
      <c r="W24" s="176">
        <f t="shared" si="6"/>
        <v>8.0000000000000071E-2</v>
      </c>
      <c r="X24" s="48">
        <f>VLOOKUP($B24,Coverage!$B$6:$AQ$53,X$35)</f>
        <v>4.33</v>
      </c>
      <c r="Y24" s="49">
        <f>VLOOKUP($B24,Coverage!$B$6:$AQ$53,Y$35)</f>
        <v>4</v>
      </c>
      <c r="Z24" s="176">
        <f t="shared" si="7"/>
        <v>-0.33000000000000007</v>
      </c>
      <c r="AA24" s="58">
        <f>VLOOKUP($B24,Coverage!$B$6:$AQ$53,AA$35)</f>
        <v>4.33</v>
      </c>
      <c r="AB24" s="26">
        <f>VLOOKUP($B24,Coverage!$B$6:$AQ$53,AB$35)</f>
        <v>4</v>
      </c>
      <c r="AC24" s="178">
        <f t="shared" si="8"/>
        <v>-0.33000000000000007</v>
      </c>
      <c r="AD24" s="55">
        <f>VLOOKUP($B24,Coverage!$B$6:$AQ$53,AD$35)</f>
        <v>4.6100000000000003</v>
      </c>
      <c r="AE24" s="56">
        <f>VLOOKUP($B24,Coverage!$B$6:$AQ$53,AE$35)</f>
        <v>5</v>
      </c>
      <c r="AF24" s="176">
        <f t="shared" si="9"/>
        <v>0.38999999999999968</v>
      </c>
      <c r="AG24" s="58">
        <f>VLOOKUP($B24,Coverage!$B$6:$AQ$53,AG$35)</f>
        <v>4.67</v>
      </c>
      <c r="AH24" s="26">
        <f>VLOOKUP($B24,Coverage!$B$6:$AQ$53,AH$35)</f>
        <v>5</v>
      </c>
      <c r="AI24" s="178">
        <f t="shared" si="10"/>
        <v>0.33000000000000007</v>
      </c>
      <c r="AJ24" s="55">
        <f>VLOOKUP($B24,Coverage!$B$6:$AQ$53,AJ$35)</f>
        <v>5</v>
      </c>
      <c r="AK24" s="56">
        <f>VLOOKUP($B24,Coverage!$B$6:$AQ$53,AK$35)</f>
        <v>5</v>
      </c>
      <c r="AL24" s="176">
        <f t="shared" si="11"/>
        <v>0</v>
      </c>
      <c r="AM24" s="58">
        <f>VLOOKUP($B24,Coverage!$B$6:$AQ$53,AM$35)</f>
        <v>5</v>
      </c>
      <c r="AN24" s="26">
        <f>VLOOKUP($B24,Coverage!$B$6:$AQ$53,AN$35)</f>
        <v>5</v>
      </c>
      <c r="AO24" s="178">
        <f t="shared" si="12"/>
        <v>0</v>
      </c>
      <c r="AP24" s="55">
        <f>VLOOKUP($B24,Coverage!$B$6:$AQ$53,AP$35)</f>
        <v>4.92</v>
      </c>
      <c r="AQ24" s="56">
        <f>VLOOKUP($B24,Coverage!$B$6:$AQ$53,AQ$35)</f>
        <v>5</v>
      </c>
      <c r="AR24" s="176">
        <f t="shared" si="13"/>
        <v>8.0000000000000071E-2</v>
      </c>
    </row>
    <row r="25" spans="2:44" x14ac:dyDescent="0.2">
      <c r="B25" s="54">
        <v>0.79166666666666696</v>
      </c>
      <c r="C25" s="48">
        <f>VLOOKUP($B25,Coverage!$B$6:$V$53,C$35)</f>
        <v>4.33</v>
      </c>
      <c r="D25" s="49">
        <f>VLOOKUP($B25,Coverage!$B$6:$V$53,D$35)</f>
        <v>5</v>
      </c>
      <c r="E25" s="176">
        <f t="shared" si="0"/>
        <v>0.66999999999999993</v>
      </c>
      <c r="F25" s="58">
        <f>VLOOKUP($B25,Coverage!$B$6:$V$53,F$35)</f>
        <v>4.12</v>
      </c>
      <c r="G25" s="26">
        <f>VLOOKUP($B25,Coverage!$B$6:$V$53,G$35)</f>
        <v>5</v>
      </c>
      <c r="H25" s="178">
        <f t="shared" si="1"/>
        <v>0.87999999999999989</v>
      </c>
      <c r="I25" s="55">
        <f>VLOOKUP($B25,Coverage!$B$6:$V$53,I$35)</f>
        <v>4.49</v>
      </c>
      <c r="J25" s="56">
        <f>VLOOKUP($B25,Coverage!$B$6:$V$53,J$35)</f>
        <v>5</v>
      </c>
      <c r="K25" s="176">
        <f t="shared" si="2"/>
        <v>0.50999999999999979</v>
      </c>
      <c r="L25" s="58">
        <f>VLOOKUP($B25,Coverage!$B$6:$V$53,L$35)</f>
        <v>4.67</v>
      </c>
      <c r="M25" s="26">
        <f>VLOOKUP($B25,Coverage!$B$6:$V$53,M$35)</f>
        <v>5</v>
      </c>
      <c r="N25" s="178">
        <f t="shared" si="3"/>
        <v>0.33000000000000007</v>
      </c>
      <c r="O25" s="55">
        <f>VLOOKUP($B25,Coverage!$B$6:$V$53,O$35)</f>
        <v>5</v>
      </c>
      <c r="P25" s="56">
        <f>VLOOKUP($B25,Coverage!$B$6:$V$53,P$35)</f>
        <v>5</v>
      </c>
      <c r="Q25" s="176">
        <f t="shared" si="4"/>
        <v>0</v>
      </c>
      <c r="R25" s="58">
        <f>VLOOKUP($B25,Coverage!$B$6:$V$53,R$35)</f>
        <v>5</v>
      </c>
      <c r="S25" s="26">
        <f>VLOOKUP($B25,Coverage!$B$6:$V$53,S$35)</f>
        <v>5</v>
      </c>
      <c r="T25" s="178">
        <f t="shared" si="5"/>
        <v>0</v>
      </c>
      <c r="U25" s="55">
        <f>VLOOKUP($B25,Coverage!$B$6:$V$53,U$35)</f>
        <v>4.9800000000000004</v>
      </c>
      <c r="V25" s="56">
        <f>VLOOKUP($B25,Coverage!$B$6:$V$53,V$35)</f>
        <v>5</v>
      </c>
      <c r="W25" s="176">
        <f t="shared" si="6"/>
        <v>1.9999999999999574E-2</v>
      </c>
      <c r="X25" s="48">
        <f>VLOOKUP($B25,Coverage!$B$6:$AQ$53,X$35)</f>
        <v>4.33</v>
      </c>
      <c r="Y25" s="49">
        <f>VLOOKUP($B25,Coverage!$B$6:$AQ$53,Y$35)</f>
        <v>5</v>
      </c>
      <c r="Z25" s="176">
        <f t="shared" si="7"/>
        <v>0.66999999999999993</v>
      </c>
      <c r="AA25" s="58">
        <f>VLOOKUP($B25,Coverage!$B$6:$AQ$53,AA$35)</f>
        <v>4.12</v>
      </c>
      <c r="AB25" s="26">
        <f>VLOOKUP($B25,Coverage!$B$6:$AQ$53,AB$35)</f>
        <v>5</v>
      </c>
      <c r="AC25" s="178">
        <f t="shared" si="8"/>
        <v>0.87999999999999989</v>
      </c>
      <c r="AD25" s="55">
        <f>VLOOKUP($B25,Coverage!$B$6:$AQ$53,AD$35)</f>
        <v>4.49</v>
      </c>
      <c r="AE25" s="56">
        <f>VLOOKUP($B25,Coverage!$B$6:$AQ$53,AE$35)</f>
        <v>5</v>
      </c>
      <c r="AF25" s="176">
        <f t="shared" si="9"/>
        <v>0.50999999999999979</v>
      </c>
      <c r="AG25" s="58">
        <f>VLOOKUP($B25,Coverage!$B$6:$AQ$53,AG$35)</f>
        <v>4.67</v>
      </c>
      <c r="AH25" s="26">
        <f>VLOOKUP($B25,Coverage!$B$6:$AQ$53,AH$35)</f>
        <v>5</v>
      </c>
      <c r="AI25" s="178">
        <f t="shared" si="10"/>
        <v>0.33000000000000007</v>
      </c>
      <c r="AJ25" s="55">
        <f>VLOOKUP($B25,Coverage!$B$6:$AQ$53,AJ$35)</f>
        <v>5</v>
      </c>
      <c r="AK25" s="56">
        <f>VLOOKUP($B25,Coverage!$B$6:$AQ$53,AK$35)</f>
        <v>5</v>
      </c>
      <c r="AL25" s="176">
        <f t="shared" si="11"/>
        <v>0</v>
      </c>
      <c r="AM25" s="58">
        <f>VLOOKUP($B25,Coverage!$B$6:$AQ$53,AM$35)</f>
        <v>5</v>
      </c>
      <c r="AN25" s="26">
        <f>VLOOKUP($B25,Coverage!$B$6:$AQ$53,AN$35)</f>
        <v>5</v>
      </c>
      <c r="AO25" s="178">
        <f t="shared" si="12"/>
        <v>0</v>
      </c>
      <c r="AP25" s="55">
        <f>VLOOKUP($B25,Coverage!$B$6:$AQ$53,AP$35)</f>
        <v>4.9800000000000004</v>
      </c>
      <c r="AQ25" s="56">
        <f>VLOOKUP($B25,Coverage!$B$6:$AQ$53,AQ$35)</f>
        <v>5</v>
      </c>
      <c r="AR25" s="176">
        <f t="shared" si="13"/>
        <v>1.9999999999999574E-2</v>
      </c>
    </row>
    <row r="26" spans="2:44" x14ac:dyDescent="0.2">
      <c r="B26" s="54">
        <v>0.83333333333333304</v>
      </c>
      <c r="C26" s="48">
        <f>VLOOKUP($B26,Coverage!$B$6:$V$53,C$35)</f>
        <v>4.33</v>
      </c>
      <c r="D26" s="49">
        <f>VLOOKUP($B26,Coverage!$B$6:$V$53,D$35)</f>
        <v>5</v>
      </c>
      <c r="E26" s="176">
        <f t="shared" si="0"/>
        <v>0.66999999999999993</v>
      </c>
      <c r="F26" s="58">
        <f>VLOOKUP($B26,Coverage!$B$6:$V$53,F$35)</f>
        <v>4.2300000000000004</v>
      </c>
      <c r="G26" s="26">
        <f>VLOOKUP($B26,Coverage!$B$6:$V$53,G$35)</f>
        <v>5</v>
      </c>
      <c r="H26" s="178">
        <f t="shared" si="1"/>
        <v>0.76999999999999957</v>
      </c>
      <c r="I26" s="55">
        <f>VLOOKUP($B26,Coverage!$B$6:$V$53,I$35)</f>
        <v>4.67</v>
      </c>
      <c r="J26" s="56">
        <f>VLOOKUP($B26,Coverage!$B$6:$V$53,J$35)</f>
        <v>5</v>
      </c>
      <c r="K26" s="176">
        <f t="shared" si="2"/>
        <v>0.33000000000000007</v>
      </c>
      <c r="L26" s="58">
        <f>VLOOKUP($B26,Coverage!$B$6:$V$53,L$35)</f>
        <v>4.67</v>
      </c>
      <c r="M26" s="26">
        <f>VLOOKUP($B26,Coverage!$B$6:$V$53,M$35)</f>
        <v>5</v>
      </c>
      <c r="N26" s="178">
        <f t="shared" si="3"/>
        <v>0.33000000000000007</v>
      </c>
      <c r="O26" s="55">
        <f>VLOOKUP($B26,Coverage!$B$6:$V$53,O$35)</f>
        <v>5.04</v>
      </c>
      <c r="P26" s="56">
        <f>VLOOKUP($B26,Coverage!$B$6:$V$53,P$35)</f>
        <v>5</v>
      </c>
      <c r="Q26" s="176">
        <f t="shared" si="4"/>
        <v>-4.0000000000000036E-2</v>
      </c>
      <c r="R26" s="58">
        <f>VLOOKUP($B26,Coverage!$B$6:$V$53,R$35)</f>
        <v>5</v>
      </c>
      <c r="S26" s="26">
        <f>VLOOKUP($B26,Coverage!$B$6:$V$53,S$35)</f>
        <v>5</v>
      </c>
      <c r="T26" s="178">
        <f t="shared" si="5"/>
        <v>0</v>
      </c>
      <c r="U26" s="55">
        <f>VLOOKUP($B26,Coverage!$B$6:$V$53,U$35)</f>
        <v>5</v>
      </c>
      <c r="V26" s="56">
        <f>VLOOKUP($B26,Coverage!$B$6:$V$53,V$35)</f>
        <v>5</v>
      </c>
      <c r="W26" s="176">
        <f t="shared" si="6"/>
        <v>0</v>
      </c>
      <c r="X26" s="48">
        <f>VLOOKUP($B26,Coverage!$B$6:$AQ$53,X$35)</f>
        <v>4.33</v>
      </c>
      <c r="Y26" s="49">
        <f>VLOOKUP($B26,Coverage!$B$6:$AQ$53,Y$35)</f>
        <v>5</v>
      </c>
      <c r="Z26" s="176">
        <f t="shared" si="7"/>
        <v>0.66999999999999993</v>
      </c>
      <c r="AA26" s="58">
        <f>VLOOKUP($B26,Coverage!$B$6:$AQ$53,AA$35)</f>
        <v>4.2300000000000004</v>
      </c>
      <c r="AB26" s="26">
        <f>VLOOKUP($B26,Coverage!$B$6:$AQ$53,AB$35)</f>
        <v>5</v>
      </c>
      <c r="AC26" s="178">
        <f t="shared" si="8"/>
        <v>0.76999999999999957</v>
      </c>
      <c r="AD26" s="55">
        <f>VLOOKUP($B26,Coverage!$B$6:$AQ$53,AD$35)</f>
        <v>4.67</v>
      </c>
      <c r="AE26" s="56">
        <f>VLOOKUP($B26,Coverage!$B$6:$AQ$53,AE$35)</f>
        <v>5</v>
      </c>
      <c r="AF26" s="176">
        <f t="shared" si="9"/>
        <v>0.33000000000000007</v>
      </c>
      <c r="AG26" s="58">
        <f>VLOOKUP($B26,Coverage!$B$6:$AQ$53,AG$35)</f>
        <v>4.67</v>
      </c>
      <c r="AH26" s="26">
        <f>VLOOKUP($B26,Coverage!$B$6:$AQ$53,AH$35)</f>
        <v>5</v>
      </c>
      <c r="AI26" s="178">
        <f t="shared" si="10"/>
        <v>0.33000000000000007</v>
      </c>
      <c r="AJ26" s="55">
        <f>VLOOKUP($B26,Coverage!$B$6:$AQ$53,AJ$35)</f>
        <v>5.04</v>
      </c>
      <c r="AK26" s="56">
        <f>VLOOKUP($B26,Coverage!$B$6:$AQ$53,AK$35)</f>
        <v>5</v>
      </c>
      <c r="AL26" s="176">
        <f t="shared" si="11"/>
        <v>-4.0000000000000036E-2</v>
      </c>
      <c r="AM26" s="58">
        <f>VLOOKUP($B26,Coverage!$B$6:$AQ$53,AM$35)</f>
        <v>5</v>
      </c>
      <c r="AN26" s="26">
        <f>VLOOKUP($B26,Coverage!$B$6:$AQ$53,AN$35)</f>
        <v>5</v>
      </c>
      <c r="AO26" s="178">
        <f t="shared" si="12"/>
        <v>0</v>
      </c>
      <c r="AP26" s="55">
        <f>VLOOKUP($B26,Coverage!$B$6:$AQ$53,AP$35)</f>
        <v>5</v>
      </c>
      <c r="AQ26" s="56">
        <f>VLOOKUP($B26,Coverage!$B$6:$AQ$53,AQ$35)</f>
        <v>5</v>
      </c>
      <c r="AR26" s="176">
        <f t="shared" si="13"/>
        <v>0</v>
      </c>
    </row>
    <row r="27" spans="2:44" x14ac:dyDescent="0.2">
      <c r="B27" s="54">
        <v>0.875</v>
      </c>
      <c r="C27" s="48">
        <f>VLOOKUP($B27,Coverage!$B$6:$V$53,C$35)</f>
        <v>4.33</v>
      </c>
      <c r="D27" s="49">
        <f>VLOOKUP($B27,Coverage!$B$6:$V$53,D$35)</f>
        <v>5</v>
      </c>
      <c r="E27" s="176">
        <f t="shared" si="0"/>
        <v>0.66999999999999993</v>
      </c>
      <c r="F27" s="58">
        <f>VLOOKUP($B27,Coverage!$B$6:$V$53,F$35)</f>
        <v>4.33</v>
      </c>
      <c r="G27" s="26">
        <f>VLOOKUP($B27,Coverage!$B$6:$V$53,G$35)</f>
        <v>5</v>
      </c>
      <c r="H27" s="178">
        <f t="shared" si="1"/>
        <v>0.66999999999999993</v>
      </c>
      <c r="I27" s="55">
        <f>VLOOKUP($B27,Coverage!$B$6:$V$53,I$35)</f>
        <v>4.67</v>
      </c>
      <c r="J27" s="56">
        <f>VLOOKUP($B27,Coverage!$B$6:$V$53,J$35)</f>
        <v>5</v>
      </c>
      <c r="K27" s="176">
        <f t="shared" si="2"/>
        <v>0.33000000000000007</v>
      </c>
      <c r="L27" s="58">
        <f>VLOOKUP($B27,Coverage!$B$6:$V$53,L$35)</f>
        <v>4.68</v>
      </c>
      <c r="M27" s="26">
        <f>VLOOKUP($B27,Coverage!$B$6:$V$53,M$35)</f>
        <v>5</v>
      </c>
      <c r="N27" s="178">
        <f t="shared" si="3"/>
        <v>0.32000000000000028</v>
      </c>
      <c r="O27" s="55">
        <f>VLOOKUP($B27,Coverage!$B$6:$V$53,O$35)</f>
        <v>5.18</v>
      </c>
      <c r="P27" s="56">
        <f>VLOOKUP($B27,Coverage!$B$6:$V$53,P$35)</f>
        <v>5</v>
      </c>
      <c r="Q27" s="176">
        <f t="shared" si="4"/>
        <v>-0.17999999999999972</v>
      </c>
      <c r="R27" s="58">
        <f>VLOOKUP($B27,Coverage!$B$6:$V$53,R$35)</f>
        <v>5</v>
      </c>
      <c r="S27" s="26">
        <f>VLOOKUP($B27,Coverage!$B$6:$V$53,S$35)</f>
        <v>5</v>
      </c>
      <c r="T27" s="178">
        <f t="shared" si="5"/>
        <v>0</v>
      </c>
      <c r="U27" s="55">
        <f>VLOOKUP($B27,Coverage!$B$6:$V$53,U$35)</f>
        <v>4.8899999999999997</v>
      </c>
      <c r="V27" s="56">
        <f>VLOOKUP($B27,Coverage!$B$6:$V$53,V$35)</f>
        <v>5</v>
      </c>
      <c r="W27" s="176">
        <f t="shared" si="6"/>
        <v>0.11000000000000032</v>
      </c>
      <c r="X27" s="48">
        <f>VLOOKUP($B27,Coverage!$B$6:$AQ$53,X$35)</f>
        <v>4.33</v>
      </c>
      <c r="Y27" s="49">
        <f>VLOOKUP($B27,Coverage!$B$6:$AQ$53,Y$35)</f>
        <v>5</v>
      </c>
      <c r="Z27" s="176">
        <f t="shared" si="7"/>
        <v>0.66999999999999993</v>
      </c>
      <c r="AA27" s="58">
        <f>VLOOKUP($B27,Coverage!$B$6:$AQ$53,AA$35)</f>
        <v>4.33</v>
      </c>
      <c r="AB27" s="26">
        <f>VLOOKUP($B27,Coverage!$B$6:$AQ$53,AB$35)</f>
        <v>5</v>
      </c>
      <c r="AC27" s="178">
        <f t="shared" si="8"/>
        <v>0.66999999999999993</v>
      </c>
      <c r="AD27" s="55">
        <f>VLOOKUP($B27,Coverage!$B$6:$AQ$53,AD$35)</f>
        <v>4.67</v>
      </c>
      <c r="AE27" s="56">
        <f>VLOOKUP($B27,Coverage!$B$6:$AQ$53,AE$35)</f>
        <v>5</v>
      </c>
      <c r="AF27" s="176">
        <f t="shared" si="9"/>
        <v>0.33000000000000007</v>
      </c>
      <c r="AG27" s="58">
        <f>VLOOKUP($B27,Coverage!$B$6:$AQ$53,AG$35)</f>
        <v>4.68</v>
      </c>
      <c r="AH27" s="26">
        <f>VLOOKUP($B27,Coverage!$B$6:$AQ$53,AH$35)</f>
        <v>5</v>
      </c>
      <c r="AI27" s="178">
        <f t="shared" si="10"/>
        <v>0.32000000000000028</v>
      </c>
      <c r="AJ27" s="55">
        <f>VLOOKUP($B27,Coverage!$B$6:$AQ$53,AJ$35)</f>
        <v>5.18</v>
      </c>
      <c r="AK27" s="56">
        <f>VLOOKUP($B27,Coverage!$B$6:$AQ$53,AK$35)</f>
        <v>5</v>
      </c>
      <c r="AL27" s="176">
        <f t="shared" si="11"/>
        <v>-0.17999999999999972</v>
      </c>
      <c r="AM27" s="58">
        <f>VLOOKUP($B27,Coverage!$B$6:$AQ$53,AM$35)</f>
        <v>5</v>
      </c>
      <c r="AN27" s="26">
        <f>VLOOKUP($B27,Coverage!$B$6:$AQ$53,AN$35)</f>
        <v>5</v>
      </c>
      <c r="AO27" s="178">
        <f t="shared" si="12"/>
        <v>0</v>
      </c>
      <c r="AP27" s="55">
        <f>VLOOKUP($B27,Coverage!$B$6:$AQ$53,AP$35)</f>
        <v>4.8899999999999997</v>
      </c>
      <c r="AQ27" s="56">
        <f>VLOOKUP($B27,Coverage!$B$6:$AQ$53,AQ$35)</f>
        <v>5</v>
      </c>
      <c r="AR27" s="176">
        <f t="shared" si="13"/>
        <v>0.11000000000000032</v>
      </c>
    </row>
    <row r="28" spans="2:44" x14ac:dyDescent="0.2">
      <c r="B28" s="54">
        <v>0.91666666666666696</v>
      </c>
      <c r="C28" s="48">
        <f>VLOOKUP($B28,Coverage!$B$6:$V$53,C$35)</f>
        <v>4.34</v>
      </c>
      <c r="D28" s="49">
        <f>VLOOKUP($B28,Coverage!$B$6:$V$53,D$35)</f>
        <v>5</v>
      </c>
      <c r="E28" s="176">
        <f t="shared" si="0"/>
        <v>0.66000000000000014</v>
      </c>
      <c r="F28" s="58">
        <f>VLOOKUP($B28,Coverage!$B$6:$V$53,F$35)</f>
        <v>4.33</v>
      </c>
      <c r="G28" s="26">
        <f>VLOOKUP($B28,Coverage!$B$6:$V$53,G$35)</f>
        <v>5</v>
      </c>
      <c r="H28" s="178">
        <f t="shared" si="1"/>
        <v>0.66999999999999993</v>
      </c>
      <c r="I28" s="55">
        <f>VLOOKUP($B28,Coverage!$B$6:$V$53,I$35)</f>
        <v>4.67</v>
      </c>
      <c r="J28" s="56">
        <f>VLOOKUP($B28,Coverage!$B$6:$V$53,J$35)</f>
        <v>5</v>
      </c>
      <c r="K28" s="176">
        <f t="shared" si="2"/>
        <v>0.33000000000000007</v>
      </c>
      <c r="L28" s="58">
        <f>VLOOKUP($B28,Coverage!$B$6:$V$53,L$35)</f>
        <v>4.82</v>
      </c>
      <c r="M28" s="26">
        <f>VLOOKUP($B28,Coverage!$B$6:$V$53,M$35)</f>
        <v>5</v>
      </c>
      <c r="N28" s="178">
        <f t="shared" si="3"/>
        <v>0.17999999999999972</v>
      </c>
      <c r="O28" s="55">
        <f>VLOOKUP($B28,Coverage!$B$6:$V$53,O$35)</f>
        <v>5.33</v>
      </c>
      <c r="P28" s="56">
        <f>VLOOKUP($B28,Coverage!$B$6:$V$53,P$35)</f>
        <v>5</v>
      </c>
      <c r="Q28" s="176">
        <f t="shared" si="4"/>
        <v>-0.33000000000000007</v>
      </c>
      <c r="R28" s="58">
        <f>VLOOKUP($B28,Coverage!$B$6:$V$53,R$35)</f>
        <v>5</v>
      </c>
      <c r="S28" s="26">
        <f>VLOOKUP($B28,Coverage!$B$6:$V$53,S$35)</f>
        <v>5</v>
      </c>
      <c r="T28" s="178">
        <f t="shared" si="5"/>
        <v>0</v>
      </c>
      <c r="U28" s="55">
        <f>VLOOKUP($B28,Coverage!$B$6:$V$53,U$35)</f>
        <v>4.9000000000000004</v>
      </c>
      <c r="V28" s="56">
        <f>VLOOKUP($B28,Coverage!$B$6:$V$53,V$35)</f>
        <v>5</v>
      </c>
      <c r="W28" s="176">
        <f t="shared" si="6"/>
        <v>9.9999999999999645E-2</v>
      </c>
      <c r="X28" s="48">
        <f>VLOOKUP($B28,Coverage!$B$6:$AQ$53,X$35)</f>
        <v>4.34</v>
      </c>
      <c r="Y28" s="49">
        <f>VLOOKUP($B28,Coverage!$B$6:$AQ$53,Y$35)</f>
        <v>5</v>
      </c>
      <c r="Z28" s="176">
        <f t="shared" si="7"/>
        <v>0.66000000000000014</v>
      </c>
      <c r="AA28" s="58">
        <f>VLOOKUP($B28,Coverage!$B$6:$AQ$53,AA$35)</f>
        <v>4.33</v>
      </c>
      <c r="AB28" s="26">
        <f>VLOOKUP($B28,Coverage!$B$6:$AQ$53,AB$35)</f>
        <v>5</v>
      </c>
      <c r="AC28" s="178">
        <f t="shared" si="8"/>
        <v>0.66999999999999993</v>
      </c>
      <c r="AD28" s="55">
        <f>VLOOKUP($B28,Coverage!$B$6:$AQ$53,AD$35)</f>
        <v>4.67</v>
      </c>
      <c r="AE28" s="56">
        <f>VLOOKUP($B28,Coverage!$B$6:$AQ$53,AE$35)</f>
        <v>5</v>
      </c>
      <c r="AF28" s="176">
        <f t="shared" si="9"/>
        <v>0.33000000000000007</v>
      </c>
      <c r="AG28" s="58">
        <f>VLOOKUP($B28,Coverage!$B$6:$AQ$53,AG$35)</f>
        <v>4.82</v>
      </c>
      <c r="AH28" s="26">
        <f>VLOOKUP($B28,Coverage!$B$6:$AQ$53,AH$35)</f>
        <v>5</v>
      </c>
      <c r="AI28" s="178">
        <f t="shared" si="10"/>
        <v>0.17999999999999972</v>
      </c>
      <c r="AJ28" s="55">
        <f>VLOOKUP($B28,Coverage!$B$6:$AQ$53,AJ$35)</f>
        <v>5.33</v>
      </c>
      <c r="AK28" s="56">
        <f>VLOOKUP($B28,Coverage!$B$6:$AQ$53,AK$35)</f>
        <v>5</v>
      </c>
      <c r="AL28" s="176">
        <f t="shared" si="11"/>
        <v>-0.33000000000000007</v>
      </c>
      <c r="AM28" s="58">
        <f>VLOOKUP($B28,Coverage!$B$6:$AQ$53,AM$35)</f>
        <v>5</v>
      </c>
      <c r="AN28" s="26">
        <f>VLOOKUP($B28,Coverage!$B$6:$AQ$53,AN$35)</f>
        <v>5</v>
      </c>
      <c r="AO28" s="178">
        <f t="shared" si="12"/>
        <v>0</v>
      </c>
      <c r="AP28" s="55">
        <f>VLOOKUP($B28,Coverage!$B$6:$AQ$53,AP$35)</f>
        <v>4.9000000000000004</v>
      </c>
      <c r="AQ28" s="56">
        <f>VLOOKUP($B28,Coverage!$B$6:$AQ$53,AQ$35)</f>
        <v>5</v>
      </c>
      <c r="AR28" s="176">
        <f t="shared" si="13"/>
        <v>9.9999999999999645E-2</v>
      </c>
    </row>
    <row r="29" spans="2:44" x14ac:dyDescent="0.2">
      <c r="B29" s="54">
        <v>0.95833333333333304</v>
      </c>
      <c r="C29" s="48">
        <f>VLOOKUP($B29,Coverage!$B$6:$V$53,C$35)</f>
        <v>4.34</v>
      </c>
      <c r="D29" s="49">
        <f>VLOOKUP($B29,Coverage!$B$6:$V$53,D$35)</f>
        <v>5</v>
      </c>
      <c r="E29" s="176">
        <f t="shared" si="0"/>
        <v>0.66000000000000014</v>
      </c>
      <c r="F29" s="58">
        <f>VLOOKUP($B29,Coverage!$B$6:$V$53,F$35)</f>
        <v>4.2699999999999996</v>
      </c>
      <c r="G29" s="26">
        <f>VLOOKUP($B29,Coverage!$B$6:$V$53,G$35)</f>
        <v>5</v>
      </c>
      <c r="H29" s="178">
        <f t="shared" si="1"/>
        <v>0.73000000000000043</v>
      </c>
      <c r="I29" s="55">
        <f>VLOOKUP($B29,Coverage!$B$6:$V$53,I$35)</f>
        <v>4.67</v>
      </c>
      <c r="J29" s="56">
        <f>VLOOKUP($B29,Coverage!$B$6:$V$53,J$35)</f>
        <v>5</v>
      </c>
      <c r="K29" s="176">
        <f t="shared" si="2"/>
        <v>0.33000000000000007</v>
      </c>
      <c r="L29" s="58">
        <f>VLOOKUP($B29,Coverage!$B$6:$V$53,L$35)</f>
        <v>5</v>
      </c>
      <c r="M29" s="26">
        <f>VLOOKUP($B29,Coverage!$B$6:$V$53,M$35)</f>
        <v>5</v>
      </c>
      <c r="N29" s="178">
        <f t="shared" si="3"/>
        <v>0</v>
      </c>
      <c r="O29" s="55">
        <f>VLOOKUP($B29,Coverage!$B$6:$V$53,O$35)</f>
        <v>5.3</v>
      </c>
      <c r="P29" s="56">
        <f>VLOOKUP($B29,Coverage!$B$6:$V$53,P$35)</f>
        <v>5</v>
      </c>
      <c r="Q29" s="176">
        <f t="shared" si="4"/>
        <v>-0.29999999999999982</v>
      </c>
      <c r="R29" s="58">
        <f>VLOOKUP($B29,Coverage!$B$6:$V$53,R$35)</f>
        <v>5</v>
      </c>
      <c r="S29" s="26">
        <f>VLOOKUP($B29,Coverage!$B$6:$V$53,S$35)</f>
        <v>5</v>
      </c>
      <c r="T29" s="178">
        <f t="shared" si="5"/>
        <v>0</v>
      </c>
      <c r="U29" s="55">
        <f>VLOOKUP($B29,Coverage!$B$6:$V$53,U$35)</f>
        <v>5.01</v>
      </c>
      <c r="V29" s="56">
        <f>VLOOKUP($B29,Coverage!$B$6:$V$53,V$35)</f>
        <v>5</v>
      </c>
      <c r="W29" s="176">
        <f t="shared" si="6"/>
        <v>-9.9999999999997868E-3</v>
      </c>
      <c r="X29" s="48">
        <f>VLOOKUP($B29,Coverage!$B$6:$AQ$53,X$35)</f>
        <v>4.34</v>
      </c>
      <c r="Y29" s="49">
        <f>VLOOKUP($B29,Coverage!$B$6:$AQ$53,Y$35)</f>
        <v>5</v>
      </c>
      <c r="Z29" s="176">
        <f t="shared" si="7"/>
        <v>0.66000000000000014</v>
      </c>
      <c r="AA29" s="58">
        <f>VLOOKUP($B29,Coverage!$B$6:$AQ$53,AA$35)</f>
        <v>4.2699999999999996</v>
      </c>
      <c r="AB29" s="26">
        <f>VLOOKUP($B29,Coverage!$B$6:$AQ$53,AB$35)</f>
        <v>5</v>
      </c>
      <c r="AC29" s="178">
        <f t="shared" si="8"/>
        <v>0.73000000000000043</v>
      </c>
      <c r="AD29" s="55">
        <f>VLOOKUP($B29,Coverage!$B$6:$AQ$53,AD$35)</f>
        <v>4.67</v>
      </c>
      <c r="AE29" s="56">
        <f>VLOOKUP($B29,Coverage!$B$6:$AQ$53,AE$35)</f>
        <v>5</v>
      </c>
      <c r="AF29" s="176">
        <f t="shared" si="9"/>
        <v>0.33000000000000007</v>
      </c>
      <c r="AG29" s="58">
        <f>VLOOKUP($B29,Coverage!$B$6:$AQ$53,AG$35)</f>
        <v>5</v>
      </c>
      <c r="AH29" s="26">
        <f>VLOOKUP($B29,Coverage!$B$6:$AQ$53,AH$35)</f>
        <v>5</v>
      </c>
      <c r="AI29" s="178">
        <f t="shared" si="10"/>
        <v>0</v>
      </c>
      <c r="AJ29" s="55">
        <f>VLOOKUP($B29,Coverage!$B$6:$AQ$53,AJ$35)</f>
        <v>5.3</v>
      </c>
      <c r="AK29" s="56">
        <f>VLOOKUP($B29,Coverage!$B$6:$AQ$53,AK$35)</f>
        <v>5</v>
      </c>
      <c r="AL29" s="176">
        <f t="shared" si="11"/>
        <v>-0.29999999999999982</v>
      </c>
      <c r="AM29" s="58">
        <f>VLOOKUP($B29,Coverage!$B$6:$AQ$53,AM$35)</f>
        <v>5</v>
      </c>
      <c r="AN29" s="26">
        <f>VLOOKUP($B29,Coverage!$B$6:$AQ$53,AN$35)</f>
        <v>5</v>
      </c>
      <c r="AO29" s="178">
        <f t="shared" si="12"/>
        <v>0</v>
      </c>
      <c r="AP29" s="55">
        <f>VLOOKUP($B29,Coverage!$B$6:$AQ$53,AP$35)</f>
        <v>5.01</v>
      </c>
      <c r="AQ29" s="56">
        <f>VLOOKUP($B29,Coverage!$B$6:$AQ$53,AQ$35)</f>
        <v>5</v>
      </c>
      <c r="AR29" s="176">
        <f t="shared" si="13"/>
        <v>-9.9999999999997868E-3</v>
      </c>
    </row>
    <row r="30" spans="2:44" ht="13.5" thickBot="1" x14ac:dyDescent="0.25">
      <c r="B30" s="68" t="s">
        <v>48</v>
      </c>
      <c r="C30" s="61">
        <f>SUM(C6:C29)</f>
        <v>116.78999999999999</v>
      </c>
      <c r="D30" s="62">
        <f>SUM(D6:D29)</f>
        <v>116</v>
      </c>
      <c r="E30" s="63">
        <f t="shared" si="0"/>
        <v>-0.78999999999999204</v>
      </c>
      <c r="F30" s="64">
        <f>SUM(F6:F29)</f>
        <v>110.92</v>
      </c>
      <c r="G30" s="65">
        <f>SUM(G6:G29)</f>
        <v>112</v>
      </c>
      <c r="H30" s="66">
        <f t="shared" si="1"/>
        <v>1.0799999999999983</v>
      </c>
      <c r="I30" s="67">
        <f>SUM(I6:I29)</f>
        <v>114.67</v>
      </c>
      <c r="J30" s="62">
        <f>SUM(J6:J29)</f>
        <v>116</v>
      </c>
      <c r="K30" s="63">
        <f t="shared" si="2"/>
        <v>1.3299999999999983</v>
      </c>
      <c r="L30" s="64">
        <f>SUM(L6:L29)</f>
        <v>117.37</v>
      </c>
      <c r="M30" s="65">
        <f>SUM(M6:M29)</f>
        <v>112</v>
      </c>
      <c r="N30" s="66">
        <f t="shared" si="3"/>
        <v>-5.3700000000000045</v>
      </c>
      <c r="O30" s="67">
        <f>SUM(O6:O29)</f>
        <v>123.50999999999999</v>
      </c>
      <c r="P30" s="62">
        <f>SUM(P6:P29)</f>
        <v>120</v>
      </c>
      <c r="Q30" s="63">
        <f t="shared" si="4"/>
        <v>-3.5099999999999909</v>
      </c>
      <c r="R30" s="64">
        <f>SUM(R6:R29)</f>
        <v>127.88000000000001</v>
      </c>
      <c r="S30" s="65">
        <f>SUM(S6:S29)</f>
        <v>124</v>
      </c>
      <c r="T30" s="66">
        <f t="shared" si="5"/>
        <v>-3.8800000000000097</v>
      </c>
      <c r="U30" s="67">
        <f>SUM(U6:U29)</f>
        <v>123.32000000000002</v>
      </c>
      <c r="V30" s="62">
        <f>SUM(V6:V29)</f>
        <v>120</v>
      </c>
      <c r="W30" s="63">
        <f t="shared" si="6"/>
        <v>-3.3200000000000216</v>
      </c>
      <c r="X30" s="61">
        <f>SUM(X6:X29)</f>
        <v>116.78999999999999</v>
      </c>
      <c r="Y30" s="62">
        <f>SUM(Y6:Y29)</f>
        <v>112</v>
      </c>
      <c r="Z30" s="63">
        <f t="shared" si="7"/>
        <v>-4.789999999999992</v>
      </c>
      <c r="AA30" s="64">
        <f>SUM(AA6:AA29)</f>
        <v>110.92</v>
      </c>
      <c r="AB30" s="65">
        <f>SUM(AB6:AB29)</f>
        <v>116</v>
      </c>
      <c r="AC30" s="66">
        <f t="shared" si="8"/>
        <v>5.0799999999999983</v>
      </c>
      <c r="AD30" s="67">
        <f>SUM(AD6:AD29)</f>
        <v>114.67</v>
      </c>
      <c r="AE30" s="62">
        <f>SUM(AE6:AE29)</f>
        <v>116</v>
      </c>
      <c r="AF30" s="63">
        <f t="shared" si="9"/>
        <v>1.3299999999999983</v>
      </c>
      <c r="AG30" s="64">
        <f>SUM(AG6:AG29)</f>
        <v>117.37</v>
      </c>
      <c r="AH30" s="65">
        <f>SUM(AH6:AH29)</f>
        <v>120</v>
      </c>
      <c r="AI30" s="66">
        <f t="shared" si="10"/>
        <v>2.6299999999999955</v>
      </c>
      <c r="AJ30" s="67">
        <f>SUM(AJ6:AJ29)</f>
        <v>123.50999999999999</v>
      </c>
      <c r="AK30" s="62">
        <f>SUM(AK6:AK29)</f>
        <v>116</v>
      </c>
      <c r="AL30" s="63">
        <f t="shared" si="11"/>
        <v>-7.5099999999999909</v>
      </c>
      <c r="AM30" s="64">
        <f>SUM(AM6:AM29)</f>
        <v>127.88000000000001</v>
      </c>
      <c r="AN30" s="65">
        <f>SUM(AN6:AN29)</f>
        <v>128</v>
      </c>
      <c r="AO30" s="66">
        <f t="shared" si="12"/>
        <v>0.11999999999999034</v>
      </c>
      <c r="AP30" s="67">
        <f>SUM(AP6:AP29)</f>
        <v>123.32000000000002</v>
      </c>
      <c r="AQ30" s="62">
        <f>SUM(AQ6:AQ29)</f>
        <v>120</v>
      </c>
      <c r="AR30" s="63">
        <f t="shared" si="13"/>
        <v>-3.3200000000000216</v>
      </c>
    </row>
    <row r="31" spans="2:44" ht="13.5" thickBot="1" x14ac:dyDescent="0.25"/>
    <row r="32" spans="2:44" ht="13.5" thickBot="1" x14ac:dyDescent="0.25">
      <c r="S32" s="69" t="s">
        <v>49</v>
      </c>
      <c r="U32" s="70">
        <f>U30+R30+O30+L30+I30+F30+C30</f>
        <v>834.45999999999992</v>
      </c>
      <c r="V32" s="71">
        <f>V30+S30+P30+M30+J30+G30+D30</f>
        <v>820</v>
      </c>
      <c r="W32" s="72">
        <f>V32-U32</f>
        <v>-14.459999999999923</v>
      </c>
      <c r="AN32" s="69" t="s">
        <v>49</v>
      </c>
      <c r="AP32" s="70">
        <f>AP30+AM30+AJ30+AG30+AD30+AA30+X30</f>
        <v>834.45999999999992</v>
      </c>
      <c r="AQ32" s="71">
        <f>AQ30+AN30+AK30+AH30+AE30+AB30+Y30</f>
        <v>828</v>
      </c>
      <c r="AR32" s="72">
        <f>AQ32-AP32</f>
        <v>-6.4599999999999227</v>
      </c>
    </row>
    <row r="33" spans="2:44" ht="13.5" thickBot="1" x14ac:dyDescent="0.25">
      <c r="S33" s="69" t="s">
        <v>50</v>
      </c>
      <c r="W33" s="135">
        <f>U32/V32</f>
        <v>1.0176341463414633</v>
      </c>
      <c r="AN33" s="69" t="s">
        <v>50</v>
      </c>
      <c r="AR33" s="135">
        <f>AP32/AQ32</f>
        <v>1.0078019323671497</v>
      </c>
    </row>
    <row r="35" spans="2:44" x14ac:dyDescent="0.2">
      <c r="B35" s="2">
        <v>1</v>
      </c>
      <c r="C35" s="2">
        <v>2</v>
      </c>
      <c r="D35" s="2">
        <v>3</v>
      </c>
      <c r="E35" s="2">
        <v>4</v>
      </c>
      <c r="F35" s="2">
        <v>5</v>
      </c>
      <c r="G35" s="2">
        <v>6</v>
      </c>
      <c r="H35" s="2">
        <v>7</v>
      </c>
      <c r="I35" s="2">
        <v>8</v>
      </c>
      <c r="J35" s="2">
        <v>9</v>
      </c>
      <c r="K35" s="2">
        <v>10</v>
      </c>
      <c r="L35" s="2">
        <v>11</v>
      </c>
      <c r="M35" s="2">
        <v>12</v>
      </c>
      <c r="N35" s="2">
        <v>13</v>
      </c>
      <c r="O35" s="2">
        <v>14</v>
      </c>
      <c r="P35" s="2">
        <v>15</v>
      </c>
      <c r="Q35" s="2">
        <v>16</v>
      </c>
      <c r="R35" s="2">
        <v>17</v>
      </c>
      <c r="S35" s="2">
        <v>18</v>
      </c>
      <c r="T35" s="2">
        <v>19</v>
      </c>
      <c r="U35" s="2">
        <v>20</v>
      </c>
      <c r="V35" s="2">
        <v>21</v>
      </c>
      <c r="W35" s="2">
        <v>22</v>
      </c>
      <c r="X35" s="2">
        <v>23</v>
      </c>
      <c r="Y35" s="2">
        <v>24</v>
      </c>
      <c r="Z35" s="2">
        <v>25</v>
      </c>
      <c r="AA35" s="2">
        <v>26</v>
      </c>
      <c r="AB35" s="2">
        <v>27</v>
      </c>
      <c r="AC35" s="2">
        <v>28</v>
      </c>
      <c r="AD35" s="2">
        <v>29</v>
      </c>
      <c r="AE35" s="2">
        <v>30</v>
      </c>
      <c r="AF35" s="2">
        <v>31</v>
      </c>
      <c r="AG35" s="2">
        <v>32</v>
      </c>
      <c r="AH35" s="2">
        <v>33</v>
      </c>
      <c r="AI35" s="2">
        <v>34</v>
      </c>
      <c r="AJ35" s="2">
        <v>35</v>
      </c>
      <c r="AK35" s="2">
        <v>36</v>
      </c>
      <c r="AL35" s="2">
        <v>37</v>
      </c>
      <c r="AM35" s="2">
        <v>38</v>
      </c>
      <c r="AN35" s="2">
        <v>39</v>
      </c>
      <c r="AO35" s="2">
        <v>40</v>
      </c>
      <c r="AP35" s="2">
        <v>41</v>
      </c>
      <c r="AQ35" s="2">
        <v>42</v>
      </c>
      <c r="AR35" s="2">
        <v>43</v>
      </c>
    </row>
    <row r="72" spans="3:3" x14ac:dyDescent="0.2">
      <c r="C72" s="2">
        <v>4</v>
      </c>
    </row>
    <row r="73" spans="3:3" x14ac:dyDescent="0.2">
      <c r="C73" s="2">
        <v>4</v>
      </c>
    </row>
    <row r="74" spans="3:3" x14ac:dyDescent="0.2">
      <c r="C74" s="2">
        <v>4</v>
      </c>
    </row>
    <row r="75" spans="3:3" x14ac:dyDescent="0.2">
      <c r="C75" s="2">
        <v>4</v>
      </c>
    </row>
    <row r="76" spans="3:3" x14ac:dyDescent="0.2">
      <c r="C76" s="2">
        <v>4</v>
      </c>
    </row>
    <row r="77" spans="3:3" x14ac:dyDescent="0.2">
      <c r="C77" s="2">
        <v>4</v>
      </c>
    </row>
    <row r="78" spans="3:3" x14ac:dyDescent="0.2">
      <c r="C78" s="2">
        <v>4</v>
      </c>
    </row>
    <row r="79" spans="3:3" x14ac:dyDescent="0.2">
      <c r="C79" s="2">
        <v>6</v>
      </c>
    </row>
    <row r="80" spans="3:3" x14ac:dyDescent="0.2">
      <c r="C80" s="2">
        <v>5</v>
      </c>
    </row>
    <row r="81" spans="3:3" x14ac:dyDescent="0.2">
      <c r="C81" s="2">
        <v>5</v>
      </c>
    </row>
    <row r="82" spans="3:3" x14ac:dyDescent="0.2">
      <c r="C82" s="2">
        <v>5</v>
      </c>
    </row>
    <row r="83" spans="3:3" x14ac:dyDescent="0.2">
      <c r="C83" s="2">
        <v>5</v>
      </c>
    </row>
    <row r="84" spans="3:3" x14ac:dyDescent="0.2">
      <c r="C84" s="2">
        <v>5</v>
      </c>
    </row>
    <row r="85" spans="3:3" x14ac:dyDescent="0.2">
      <c r="C85" s="2">
        <v>5</v>
      </c>
    </row>
    <row r="86" spans="3:3" x14ac:dyDescent="0.2">
      <c r="C86" s="2">
        <v>5</v>
      </c>
    </row>
    <row r="87" spans="3:3" x14ac:dyDescent="0.2">
      <c r="C87" s="2">
        <v>4</v>
      </c>
    </row>
    <row r="88" spans="3:3" x14ac:dyDescent="0.2">
      <c r="C88" s="2">
        <v>4</v>
      </c>
    </row>
    <row r="89" spans="3:3" x14ac:dyDescent="0.2">
      <c r="C89" s="2">
        <v>4</v>
      </c>
    </row>
    <row r="90" spans="3:3" x14ac:dyDescent="0.2">
      <c r="C90" s="2">
        <v>4</v>
      </c>
    </row>
    <row r="91" spans="3:3" x14ac:dyDescent="0.2">
      <c r="C91" s="2">
        <v>4</v>
      </c>
    </row>
    <row r="92" spans="3:3" x14ac:dyDescent="0.2">
      <c r="C92" s="2">
        <v>4</v>
      </c>
    </row>
    <row r="93" spans="3:3" x14ac:dyDescent="0.2">
      <c r="C93" s="2">
        <v>4</v>
      </c>
    </row>
    <row r="94" spans="3:3" x14ac:dyDescent="0.2">
      <c r="C94" s="2">
        <v>4</v>
      </c>
    </row>
    <row r="95" spans="3:3" x14ac:dyDescent="0.2">
      <c r="C95" s="2">
        <v>4</v>
      </c>
    </row>
    <row r="96" spans="3:3" x14ac:dyDescent="0.2">
      <c r="C96" s="2">
        <v>4</v>
      </c>
    </row>
    <row r="97" spans="3:3" x14ac:dyDescent="0.2">
      <c r="C97" s="2">
        <v>4</v>
      </c>
    </row>
    <row r="98" spans="3:3" x14ac:dyDescent="0.2">
      <c r="C98" s="2">
        <v>4</v>
      </c>
    </row>
    <row r="99" spans="3:3" x14ac:dyDescent="0.2">
      <c r="C99" s="2">
        <v>4</v>
      </c>
    </row>
    <row r="100" spans="3:3" x14ac:dyDescent="0.2">
      <c r="C100" s="2">
        <v>4</v>
      </c>
    </row>
    <row r="101" spans="3:3" x14ac:dyDescent="0.2">
      <c r="C101" s="2">
        <v>4</v>
      </c>
    </row>
    <row r="102" spans="3:3" x14ac:dyDescent="0.2">
      <c r="C102" s="2">
        <v>4</v>
      </c>
    </row>
    <row r="103" spans="3:3" x14ac:dyDescent="0.2">
      <c r="C103" s="2">
        <v>5</v>
      </c>
    </row>
    <row r="104" spans="3:3" x14ac:dyDescent="0.2">
      <c r="C104" s="2">
        <v>5</v>
      </c>
    </row>
    <row r="105" spans="3:3" x14ac:dyDescent="0.2">
      <c r="C105" s="2">
        <v>5</v>
      </c>
    </row>
    <row r="106" spans="3:3" x14ac:dyDescent="0.2">
      <c r="C106" s="2">
        <v>5</v>
      </c>
    </row>
    <row r="107" spans="3:3" x14ac:dyDescent="0.2">
      <c r="C107" s="2">
        <v>5</v>
      </c>
    </row>
    <row r="108" spans="3:3" x14ac:dyDescent="0.2">
      <c r="C108" s="2">
        <v>5</v>
      </c>
    </row>
    <row r="109" spans="3:3" x14ac:dyDescent="0.2">
      <c r="C109" s="2">
        <v>5</v>
      </c>
    </row>
    <row r="110" spans="3:3" x14ac:dyDescent="0.2">
      <c r="C110" s="2">
        <v>5</v>
      </c>
    </row>
    <row r="111" spans="3:3" x14ac:dyDescent="0.2">
      <c r="C111" s="2">
        <v>4</v>
      </c>
    </row>
    <row r="112" spans="3:3" x14ac:dyDescent="0.2">
      <c r="C112" s="2">
        <v>4</v>
      </c>
    </row>
    <row r="113" spans="3:3" x14ac:dyDescent="0.2">
      <c r="C113" s="2">
        <v>4</v>
      </c>
    </row>
    <row r="114" spans="3:3" x14ac:dyDescent="0.2">
      <c r="C114" s="2">
        <v>4</v>
      </c>
    </row>
    <row r="115" spans="3:3" x14ac:dyDescent="0.2">
      <c r="C115" s="2">
        <v>4</v>
      </c>
    </row>
    <row r="116" spans="3:3" x14ac:dyDescent="0.2">
      <c r="C116" s="2">
        <v>4</v>
      </c>
    </row>
    <row r="117" spans="3:3" x14ac:dyDescent="0.2">
      <c r="C117" s="2">
        <v>4</v>
      </c>
    </row>
    <row r="118" spans="3:3" x14ac:dyDescent="0.2">
      <c r="C118" s="2">
        <v>4</v>
      </c>
    </row>
    <row r="119" spans="3:3" x14ac:dyDescent="0.2">
      <c r="C119" s="2">
        <v>5</v>
      </c>
    </row>
    <row r="120" spans="3:3" x14ac:dyDescent="0.2">
      <c r="C120" s="2">
        <v>5</v>
      </c>
    </row>
    <row r="121" spans="3:3" x14ac:dyDescent="0.2">
      <c r="C121" s="2">
        <v>5</v>
      </c>
    </row>
    <row r="122" spans="3:3" x14ac:dyDescent="0.2">
      <c r="C122" s="2">
        <v>5</v>
      </c>
    </row>
    <row r="123" spans="3:3" x14ac:dyDescent="0.2">
      <c r="C123" s="2">
        <v>5</v>
      </c>
    </row>
    <row r="124" spans="3:3" x14ac:dyDescent="0.2">
      <c r="C124" s="2">
        <v>5</v>
      </c>
    </row>
    <row r="125" spans="3:3" x14ac:dyDescent="0.2">
      <c r="C125" s="2">
        <v>5</v>
      </c>
    </row>
    <row r="126" spans="3:3" x14ac:dyDescent="0.2">
      <c r="C126" s="2">
        <v>5</v>
      </c>
    </row>
    <row r="127" spans="3:3" x14ac:dyDescent="0.2">
      <c r="C127" s="2">
        <v>5</v>
      </c>
    </row>
    <row r="128" spans="3:3" x14ac:dyDescent="0.2">
      <c r="C128" s="2">
        <v>5</v>
      </c>
    </row>
    <row r="129" spans="3:3" x14ac:dyDescent="0.2">
      <c r="C129" s="2">
        <v>5</v>
      </c>
    </row>
    <row r="130" spans="3:3" x14ac:dyDescent="0.2">
      <c r="C130" s="2">
        <v>5</v>
      </c>
    </row>
    <row r="131" spans="3:3" x14ac:dyDescent="0.2">
      <c r="C131" s="2">
        <v>5</v>
      </c>
    </row>
    <row r="132" spans="3:3" x14ac:dyDescent="0.2">
      <c r="C132" s="2">
        <v>5</v>
      </c>
    </row>
    <row r="133" spans="3:3" x14ac:dyDescent="0.2">
      <c r="C133" s="2">
        <v>5</v>
      </c>
    </row>
    <row r="134" spans="3:3" x14ac:dyDescent="0.2">
      <c r="C134" s="2">
        <v>5</v>
      </c>
    </row>
    <row r="135" spans="3:3" x14ac:dyDescent="0.2">
      <c r="C135" s="2">
        <v>5</v>
      </c>
    </row>
    <row r="136" spans="3:3" x14ac:dyDescent="0.2">
      <c r="C136" s="2">
        <v>5</v>
      </c>
    </row>
    <row r="137" spans="3:3" x14ac:dyDescent="0.2">
      <c r="C137" s="2">
        <v>5</v>
      </c>
    </row>
    <row r="138" spans="3:3" x14ac:dyDescent="0.2">
      <c r="C138" s="2">
        <v>5</v>
      </c>
    </row>
    <row r="139" spans="3:3" x14ac:dyDescent="0.2">
      <c r="C139" s="2">
        <v>4</v>
      </c>
    </row>
    <row r="140" spans="3:3" x14ac:dyDescent="0.2">
      <c r="C140" s="2">
        <v>4</v>
      </c>
    </row>
    <row r="141" spans="3:3" x14ac:dyDescent="0.2">
      <c r="C141" s="2">
        <v>4</v>
      </c>
    </row>
    <row r="142" spans="3:3" x14ac:dyDescent="0.2">
      <c r="C142" s="2">
        <v>5</v>
      </c>
    </row>
    <row r="143" spans="3:3" x14ac:dyDescent="0.2">
      <c r="C143" s="2">
        <v>4</v>
      </c>
    </row>
    <row r="144" spans="3:3" x14ac:dyDescent="0.2">
      <c r="C144" s="2">
        <v>4</v>
      </c>
    </row>
    <row r="145" spans="3:3" x14ac:dyDescent="0.2">
      <c r="C145" s="2">
        <v>4</v>
      </c>
    </row>
    <row r="146" spans="3:3" x14ac:dyDescent="0.2">
      <c r="C146" s="2">
        <v>4</v>
      </c>
    </row>
    <row r="147" spans="3:3" x14ac:dyDescent="0.2">
      <c r="C147" s="2">
        <v>4</v>
      </c>
    </row>
    <row r="148" spans="3:3" x14ac:dyDescent="0.2">
      <c r="C148" s="2">
        <v>4</v>
      </c>
    </row>
    <row r="149" spans="3:3" x14ac:dyDescent="0.2">
      <c r="C149" s="2">
        <v>4</v>
      </c>
    </row>
    <row r="150" spans="3:3" x14ac:dyDescent="0.2">
      <c r="C150" s="2">
        <v>4</v>
      </c>
    </row>
    <row r="151" spans="3:3" x14ac:dyDescent="0.2">
      <c r="C151" s="2">
        <v>6</v>
      </c>
    </row>
    <row r="152" spans="3:3" x14ac:dyDescent="0.2">
      <c r="C152" s="2">
        <v>5</v>
      </c>
    </row>
    <row r="153" spans="3:3" x14ac:dyDescent="0.2">
      <c r="C153" s="2">
        <v>5</v>
      </c>
    </row>
    <row r="154" spans="3:3" x14ac:dyDescent="0.2">
      <c r="C154" s="2">
        <v>5</v>
      </c>
    </row>
    <row r="155" spans="3:3" x14ac:dyDescent="0.2">
      <c r="C155" s="2">
        <v>5</v>
      </c>
    </row>
    <row r="156" spans="3:3" x14ac:dyDescent="0.2">
      <c r="C156" s="2">
        <v>5</v>
      </c>
    </row>
    <row r="157" spans="3:3" x14ac:dyDescent="0.2">
      <c r="C157" s="2">
        <v>5</v>
      </c>
    </row>
    <row r="158" spans="3:3" x14ac:dyDescent="0.2">
      <c r="C158" s="2">
        <v>5</v>
      </c>
    </row>
    <row r="159" spans="3:3" x14ac:dyDescent="0.2">
      <c r="C159" s="2">
        <v>5</v>
      </c>
    </row>
    <row r="160" spans="3:3" x14ac:dyDescent="0.2">
      <c r="C160" s="2">
        <v>5</v>
      </c>
    </row>
    <row r="161" spans="3:3" x14ac:dyDescent="0.2">
      <c r="C161" s="2">
        <v>5</v>
      </c>
    </row>
    <row r="162" spans="3:3" x14ac:dyDescent="0.2">
      <c r="C162" s="2">
        <v>5</v>
      </c>
    </row>
    <row r="163" spans="3:3" x14ac:dyDescent="0.2">
      <c r="C163" s="2">
        <v>3</v>
      </c>
    </row>
    <row r="164" spans="3:3" x14ac:dyDescent="0.2">
      <c r="C164" s="2">
        <v>3</v>
      </c>
    </row>
    <row r="165" spans="3:3" x14ac:dyDescent="0.2">
      <c r="C165" s="2">
        <v>3</v>
      </c>
    </row>
    <row r="166" spans="3:3" x14ac:dyDescent="0.2">
      <c r="C166" s="2">
        <v>4</v>
      </c>
    </row>
    <row r="167" spans="3:3" x14ac:dyDescent="0.2">
      <c r="C167" s="2">
        <v>4</v>
      </c>
    </row>
    <row r="168" spans="3:3" x14ac:dyDescent="0.2">
      <c r="C168" s="2">
        <v>4</v>
      </c>
    </row>
    <row r="169" spans="3:3" x14ac:dyDescent="0.2">
      <c r="C169" s="2">
        <v>4</v>
      </c>
    </row>
    <row r="170" spans="3:3" x14ac:dyDescent="0.2">
      <c r="C170" s="2">
        <v>4</v>
      </c>
    </row>
    <row r="171" spans="3:3" x14ac:dyDescent="0.2">
      <c r="C171" s="2">
        <v>4</v>
      </c>
    </row>
    <row r="172" spans="3:3" x14ac:dyDescent="0.2">
      <c r="C172" s="2">
        <v>4</v>
      </c>
    </row>
    <row r="173" spans="3:3" x14ac:dyDescent="0.2">
      <c r="C173" s="2">
        <v>4</v>
      </c>
    </row>
    <row r="174" spans="3:3" x14ac:dyDescent="0.2">
      <c r="C174" s="2">
        <v>4</v>
      </c>
    </row>
    <row r="175" spans="3:3" x14ac:dyDescent="0.2">
      <c r="C175" s="2">
        <v>6</v>
      </c>
    </row>
    <row r="176" spans="3:3" x14ac:dyDescent="0.2">
      <c r="C176" s="2">
        <v>5</v>
      </c>
    </row>
    <row r="177" spans="3:3" x14ac:dyDescent="0.2">
      <c r="C177" s="2">
        <v>5</v>
      </c>
    </row>
    <row r="178" spans="3:3" x14ac:dyDescent="0.2">
      <c r="C178" s="2">
        <v>5</v>
      </c>
    </row>
    <row r="179" spans="3:3" x14ac:dyDescent="0.2">
      <c r="C179" s="2">
        <v>5</v>
      </c>
    </row>
    <row r="180" spans="3:3" x14ac:dyDescent="0.2">
      <c r="C180" s="2">
        <v>5</v>
      </c>
    </row>
    <row r="181" spans="3:3" x14ac:dyDescent="0.2">
      <c r="C181" s="2">
        <v>5</v>
      </c>
    </row>
    <row r="182" spans="3:3" x14ac:dyDescent="0.2">
      <c r="C182" s="2">
        <v>5</v>
      </c>
    </row>
    <row r="183" spans="3:3" x14ac:dyDescent="0.2">
      <c r="C183" s="2">
        <v>4</v>
      </c>
    </row>
    <row r="184" spans="3:3" x14ac:dyDescent="0.2">
      <c r="C184" s="2">
        <v>4</v>
      </c>
    </row>
    <row r="185" spans="3:3" x14ac:dyDescent="0.2">
      <c r="C185" s="2">
        <v>4</v>
      </c>
    </row>
    <row r="186" spans="3:3" x14ac:dyDescent="0.2">
      <c r="C186" s="2">
        <v>4</v>
      </c>
    </row>
    <row r="187" spans="3:3" x14ac:dyDescent="0.2">
      <c r="C187" s="2">
        <v>4</v>
      </c>
    </row>
    <row r="188" spans="3:3" x14ac:dyDescent="0.2">
      <c r="C188" s="2">
        <v>4</v>
      </c>
    </row>
    <row r="189" spans="3:3" x14ac:dyDescent="0.2">
      <c r="C189" s="2">
        <v>4</v>
      </c>
    </row>
    <row r="190" spans="3:3" x14ac:dyDescent="0.2">
      <c r="C190" s="2">
        <v>5</v>
      </c>
    </row>
    <row r="191" spans="3:3" x14ac:dyDescent="0.2">
      <c r="C191" s="2">
        <v>4</v>
      </c>
    </row>
    <row r="192" spans="3:3" x14ac:dyDescent="0.2">
      <c r="C192" s="2">
        <v>4</v>
      </c>
    </row>
    <row r="193" spans="3:3" x14ac:dyDescent="0.2">
      <c r="C193" s="2">
        <v>4</v>
      </c>
    </row>
    <row r="194" spans="3:3" x14ac:dyDescent="0.2">
      <c r="C194" s="2">
        <v>4</v>
      </c>
    </row>
    <row r="195" spans="3:3" x14ac:dyDescent="0.2">
      <c r="C195" s="2">
        <v>4</v>
      </c>
    </row>
    <row r="196" spans="3:3" x14ac:dyDescent="0.2">
      <c r="C196" s="2">
        <v>4</v>
      </c>
    </row>
    <row r="197" spans="3:3" x14ac:dyDescent="0.2">
      <c r="C197" s="2">
        <v>4</v>
      </c>
    </row>
    <row r="198" spans="3:3" x14ac:dyDescent="0.2">
      <c r="C198" s="2">
        <v>4</v>
      </c>
    </row>
    <row r="199" spans="3:3" x14ac:dyDescent="0.2">
      <c r="C199" s="2">
        <v>5</v>
      </c>
    </row>
    <row r="200" spans="3:3" x14ac:dyDescent="0.2">
      <c r="C200" s="2">
        <v>4</v>
      </c>
    </row>
    <row r="201" spans="3:3" x14ac:dyDescent="0.2">
      <c r="C201" s="2">
        <v>5</v>
      </c>
    </row>
    <row r="202" spans="3:3" x14ac:dyDescent="0.2">
      <c r="C202" s="2">
        <v>5</v>
      </c>
    </row>
    <row r="203" spans="3:3" x14ac:dyDescent="0.2">
      <c r="C203" s="2">
        <v>5</v>
      </c>
    </row>
    <row r="204" spans="3:3" x14ac:dyDescent="0.2">
      <c r="C204" s="2">
        <v>5</v>
      </c>
    </row>
    <row r="205" spans="3:3" x14ac:dyDescent="0.2">
      <c r="C205" s="2">
        <v>5</v>
      </c>
    </row>
    <row r="206" spans="3:3" x14ac:dyDescent="0.2">
      <c r="C206" s="2">
        <v>5</v>
      </c>
    </row>
    <row r="207" spans="3:3" x14ac:dyDescent="0.2">
      <c r="C207" s="2">
        <v>4</v>
      </c>
    </row>
    <row r="208" spans="3:3" x14ac:dyDescent="0.2">
      <c r="C208" s="2">
        <v>4</v>
      </c>
    </row>
    <row r="209" spans="3:3" x14ac:dyDescent="0.2">
      <c r="C209" s="2">
        <v>4</v>
      </c>
    </row>
    <row r="210" spans="3:3" x14ac:dyDescent="0.2">
      <c r="C210" s="2">
        <v>4</v>
      </c>
    </row>
    <row r="211" spans="3:3" x14ac:dyDescent="0.2">
      <c r="C211" s="2">
        <v>4</v>
      </c>
    </row>
    <row r="212" spans="3:3" x14ac:dyDescent="0.2">
      <c r="C212" s="2">
        <v>4</v>
      </c>
    </row>
    <row r="213" spans="3:3" x14ac:dyDescent="0.2">
      <c r="C213" s="2">
        <v>4</v>
      </c>
    </row>
    <row r="214" spans="3:3" x14ac:dyDescent="0.2">
      <c r="C214" s="2">
        <v>4</v>
      </c>
    </row>
    <row r="215" spans="3:3" x14ac:dyDescent="0.2">
      <c r="C215" s="2">
        <v>4</v>
      </c>
    </row>
    <row r="216" spans="3:3" x14ac:dyDescent="0.2">
      <c r="C216" s="2">
        <v>4</v>
      </c>
    </row>
    <row r="217" spans="3:3" x14ac:dyDescent="0.2">
      <c r="C217" s="2">
        <v>4</v>
      </c>
    </row>
    <row r="218" spans="3:3" x14ac:dyDescent="0.2">
      <c r="C218" s="2">
        <v>4</v>
      </c>
    </row>
    <row r="219" spans="3:3" x14ac:dyDescent="0.2">
      <c r="C219" s="2">
        <v>4</v>
      </c>
    </row>
    <row r="220" spans="3:3" x14ac:dyDescent="0.2">
      <c r="C220" s="2">
        <v>4</v>
      </c>
    </row>
    <row r="221" spans="3:3" x14ac:dyDescent="0.2">
      <c r="C221" s="2">
        <v>4</v>
      </c>
    </row>
    <row r="222" spans="3:3" x14ac:dyDescent="0.2">
      <c r="C222" s="2">
        <v>4</v>
      </c>
    </row>
    <row r="223" spans="3:3" x14ac:dyDescent="0.2">
      <c r="C223" s="2">
        <v>6</v>
      </c>
    </row>
    <row r="224" spans="3:3" x14ac:dyDescent="0.2">
      <c r="C224" s="2">
        <v>6</v>
      </c>
    </row>
    <row r="225" spans="3:3" x14ac:dyDescent="0.2">
      <c r="C225" s="2">
        <v>5</v>
      </c>
    </row>
    <row r="226" spans="3:3" x14ac:dyDescent="0.2">
      <c r="C226" s="2">
        <v>5</v>
      </c>
    </row>
    <row r="227" spans="3:3" x14ac:dyDescent="0.2">
      <c r="C227" s="2">
        <v>5</v>
      </c>
    </row>
    <row r="228" spans="3:3" x14ac:dyDescent="0.2">
      <c r="C228" s="2">
        <v>5</v>
      </c>
    </row>
    <row r="229" spans="3:3" x14ac:dyDescent="0.2">
      <c r="C229" s="2">
        <v>5</v>
      </c>
    </row>
    <row r="230" spans="3:3" x14ac:dyDescent="0.2">
      <c r="C230" s="2">
        <v>5</v>
      </c>
    </row>
    <row r="231" spans="3:3" x14ac:dyDescent="0.2">
      <c r="C231" s="2">
        <v>4</v>
      </c>
    </row>
    <row r="232" spans="3:3" x14ac:dyDescent="0.2">
      <c r="C232" s="2">
        <v>4</v>
      </c>
    </row>
    <row r="233" spans="3:3" x14ac:dyDescent="0.2">
      <c r="C233" s="2">
        <v>4</v>
      </c>
    </row>
    <row r="234" spans="3:3" x14ac:dyDescent="0.2">
      <c r="C234" s="2">
        <v>4</v>
      </c>
    </row>
    <row r="235" spans="3:3" x14ac:dyDescent="0.2">
      <c r="C235" s="2">
        <v>3</v>
      </c>
    </row>
    <row r="236" spans="3:3" x14ac:dyDescent="0.2">
      <c r="C236" s="2">
        <v>3</v>
      </c>
    </row>
    <row r="237" spans="3:3" x14ac:dyDescent="0.2">
      <c r="C237" s="2">
        <v>3</v>
      </c>
    </row>
    <row r="238" spans="3:3" x14ac:dyDescent="0.2">
      <c r="C238" s="2">
        <v>4</v>
      </c>
    </row>
    <row r="239" spans="3:3" x14ac:dyDescent="0.2">
      <c r="C239" s="2">
        <v>4</v>
      </c>
    </row>
  </sheetData>
  <phoneticPr fontId="16" type="noConversion"/>
  <conditionalFormatting sqref="Q6:Q30 H6:H30 K6:K30 N6:N30 E8:E30 T6:T30 W6:W30 W32 AL6:AL30 AC6:AC30 AF6:AF30 AI6:AI30 Z8:Z30 AO6:AO30 AR6:AR30 AR32">
    <cfRule type="cellIs" dxfId="0" priority="1" stopIfTrue="1" operator="lessThan">
      <formula>0</formula>
    </cfRule>
  </conditionalFormatting>
  <printOptions horizontalCentered="1"/>
  <pageMargins left="0.5" right="0.5" top="0.59" bottom="0.43" header="0.28000000000000003" footer="0.24"/>
  <pageSetup scale="83"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L49"/>
  <sheetViews>
    <sheetView topLeftCell="A4" workbookViewId="0">
      <selection activeCell="D9" sqref="D9"/>
    </sheetView>
  </sheetViews>
  <sheetFormatPr defaultRowHeight="12.75" x14ac:dyDescent="0.2"/>
  <cols>
    <col min="3" max="3" width="10.5703125" customWidth="1"/>
    <col min="4" max="6" width="12.5703125" customWidth="1"/>
    <col min="7" max="7" width="10.5703125" customWidth="1"/>
    <col min="8" max="9" width="12.5703125" customWidth="1"/>
    <col min="10" max="10" width="10.5703125" customWidth="1"/>
    <col min="11" max="11" width="12.5703125" customWidth="1"/>
    <col min="12" max="12" width="10.5703125" customWidth="1"/>
    <col min="13" max="14" width="12.5703125" customWidth="1"/>
    <col min="15" max="15" width="10.5703125" customWidth="1"/>
    <col min="16" max="16" width="10.5703125" bestFit="1" customWidth="1"/>
  </cols>
  <sheetData>
    <row r="1" spans="2:8" ht="18.75" x14ac:dyDescent="0.3">
      <c r="B1" s="100" t="str">
        <f>Coverage!E1</f>
        <v>Unit 1, Scenario 1</v>
      </c>
      <c r="C1" s="99"/>
      <c r="D1" s="99"/>
      <c r="E1" s="99"/>
      <c r="F1" s="99"/>
      <c r="G1" s="99"/>
    </row>
    <row r="2" spans="2:8" x14ac:dyDescent="0.2">
      <c r="B2" s="99"/>
      <c r="C2" s="99"/>
      <c r="D2" s="99"/>
      <c r="E2" s="99"/>
      <c r="F2" s="99"/>
      <c r="G2" s="99"/>
    </row>
    <row r="3" spans="2:8" x14ac:dyDescent="0.2">
      <c r="B3" s="99"/>
      <c r="C3" s="99"/>
      <c r="D3" s="99"/>
      <c r="E3" s="99"/>
      <c r="F3" s="99"/>
      <c r="G3" s="99"/>
    </row>
    <row r="4" spans="2:8" x14ac:dyDescent="0.2">
      <c r="B4" s="101">
        <v>1</v>
      </c>
      <c r="C4" s="102" t="s">
        <v>57</v>
      </c>
      <c r="D4" s="99"/>
      <c r="E4" s="99"/>
      <c r="F4" s="99"/>
      <c r="G4" s="99"/>
      <c r="H4" s="99"/>
    </row>
    <row r="5" spans="2:8" x14ac:dyDescent="0.2">
      <c r="B5" s="99"/>
      <c r="C5" s="99"/>
      <c r="D5" s="99"/>
      <c r="E5" s="99"/>
      <c r="F5" s="99"/>
      <c r="G5" s="99"/>
      <c r="H5" s="99"/>
    </row>
    <row r="6" spans="2:8" x14ac:dyDescent="0.2">
      <c r="B6" s="99"/>
      <c r="C6" s="170" t="s">
        <v>69</v>
      </c>
      <c r="D6" s="170" t="s">
        <v>2</v>
      </c>
      <c r="E6" s="171"/>
      <c r="F6" s="171"/>
      <c r="G6" s="172"/>
    </row>
    <row r="7" spans="2:8" x14ac:dyDescent="0.2">
      <c r="B7" s="99"/>
      <c r="C7" s="170" t="s">
        <v>23</v>
      </c>
      <c r="D7" s="118" t="s">
        <v>128</v>
      </c>
      <c r="E7" s="193" t="s">
        <v>131</v>
      </c>
      <c r="F7" s="193" t="s">
        <v>127</v>
      </c>
      <c r="G7" s="119" t="s">
        <v>49</v>
      </c>
    </row>
    <row r="8" spans="2:8" x14ac:dyDescent="0.2">
      <c r="B8" s="99"/>
      <c r="C8" s="118" t="s">
        <v>128</v>
      </c>
      <c r="D8" s="120">
        <v>4</v>
      </c>
      <c r="E8" s="194"/>
      <c r="F8" s="194"/>
      <c r="G8" s="121">
        <v>4</v>
      </c>
    </row>
    <row r="9" spans="2:8" x14ac:dyDescent="0.2">
      <c r="B9" s="99"/>
      <c r="C9" s="192" t="s">
        <v>131</v>
      </c>
      <c r="D9" s="136"/>
      <c r="E9" s="195">
        <v>16</v>
      </c>
      <c r="F9" s="195"/>
      <c r="G9" s="122">
        <v>16</v>
      </c>
    </row>
    <row r="10" spans="2:8" x14ac:dyDescent="0.2">
      <c r="B10" s="99"/>
      <c r="C10" s="192" t="s">
        <v>127</v>
      </c>
      <c r="D10" s="136"/>
      <c r="E10" s="195"/>
      <c r="F10" s="195">
        <v>3</v>
      </c>
      <c r="G10" s="122">
        <v>3</v>
      </c>
    </row>
    <row r="11" spans="2:8" x14ac:dyDescent="0.2">
      <c r="B11" s="99"/>
      <c r="C11" s="123" t="s">
        <v>49</v>
      </c>
      <c r="D11" s="124">
        <v>4</v>
      </c>
      <c r="E11" s="196">
        <v>16</v>
      </c>
      <c r="F11" s="196">
        <v>3</v>
      </c>
      <c r="G11" s="125">
        <v>23</v>
      </c>
    </row>
    <row r="12" spans="2:8" x14ac:dyDescent="0.2">
      <c r="B12" s="99"/>
    </row>
    <row r="13" spans="2:8" x14ac:dyDescent="0.2">
      <c r="B13" s="99"/>
    </row>
    <row r="14" spans="2:8" x14ac:dyDescent="0.2">
      <c r="B14" s="99"/>
    </row>
    <row r="15" spans="2:8" x14ac:dyDescent="0.2">
      <c r="B15" s="99"/>
      <c r="C15" s="126"/>
      <c r="D15" s="127"/>
      <c r="E15" s="127"/>
      <c r="F15" s="127"/>
      <c r="G15" s="99"/>
      <c r="H15" s="99"/>
    </row>
    <row r="16" spans="2:8" x14ac:dyDescent="0.2">
      <c r="B16" s="101">
        <v>2</v>
      </c>
      <c r="C16" s="102" t="s">
        <v>58</v>
      </c>
      <c r="D16" s="99"/>
      <c r="E16" s="99"/>
      <c r="F16" s="99"/>
      <c r="G16" s="99"/>
      <c r="H16" s="99"/>
    </row>
    <row r="17" spans="2:12" ht="13.5" thickBot="1" x14ac:dyDescent="0.25">
      <c r="B17" s="99"/>
      <c r="C17" s="102"/>
      <c r="D17" s="99"/>
      <c r="E17" s="99"/>
      <c r="F17" s="99"/>
      <c r="G17" s="99"/>
      <c r="H17" s="99"/>
    </row>
    <row r="18" spans="2:12" ht="13.5" thickBot="1" x14ac:dyDescent="0.25">
      <c r="B18" s="99"/>
      <c r="C18" s="103"/>
      <c r="D18" s="103"/>
      <c r="E18" s="104" t="s">
        <v>59</v>
      </c>
      <c r="F18" s="104" t="s">
        <v>60</v>
      </c>
      <c r="G18" s="104" t="s">
        <v>50</v>
      </c>
      <c r="H18" s="99"/>
    </row>
    <row r="19" spans="2:12" x14ac:dyDescent="0.2">
      <c r="B19" s="99"/>
      <c r="C19" s="102" t="s">
        <v>61</v>
      </c>
      <c r="D19" s="99"/>
      <c r="E19" s="105">
        <f>Coverage_Hourly!U32</f>
        <v>834.45999999999992</v>
      </c>
      <c r="F19" s="106">
        <f>E19/40</f>
        <v>20.861499999999999</v>
      </c>
      <c r="G19" s="99" t="e">
        <f>NA()</f>
        <v>#N/A</v>
      </c>
      <c r="H19" s="99"/>
    </row>
    <row r="20" spans="2:12" ht="13.5" thickBot="1" x14ac:dyDescent="0.25">
      <c r="B20" s="99"/>
      <c r="C20" s="107" t="s">
        <v>62</v>
      </c>
      <c r="D20" s="108"/>
      <c r="E20" s="109">
        <f>Coverage_Hourly!V32</f>
        <v>820</v>
      </c>
      <c r="F20" s="110">
        <f>E20/40</f>
        <v>20.5</v>
      </c>
      <c r="G20" s="111">
        <f>(E20-E19)/E20</f>
        <v>-1.7634146341463319E-2</v>
      </c>
      <c r="H20" s="99"/>
    </row>
    <row r="21" spans="2:12" x14ac:dyDescent="0.2">
      <c r="B21" s="99"/>
      <c r="C21" s="99"/>
      <c r="D21" s="99"/>
      <c r="E21" s="99"/>
      <c r="F21" s="99"/>
      <c r="G21" s="99"/>
      <c r="H21" s="99"/>
    </row>
    <row r="22" spans="2:12" x14ac:dyDescent="0.2">
      <c r="B22" s="99"/>
      <c r="C22" s="99"/>
      <c r="D22" s="99"/>
      <c r="E22" s="99"/>
      <c r="F22" s="99"/>
      <c r="G22" s="99"/>
      <c r="H22" s="99"/>
    </row>
    <row r="23" spans="2:12" x14ac:dyDescent="0.2">
      <c r="B23" s="101">
        <v>3</v>
      </c>
      <c r="C23" s="102" t="s">
        <v>57</v>
      </c>
      <c r="D23" s="99"/>
      <c r="E23" s="99"/>
      <c r="F23" s="99"/>
      <c r="G23" s="101">
        <v>4</v>
      </c>
      <c r="H23" s="102" t="s">
        <v>88</v>
      </c>
    </row>
    <row r="24" spans="2:12" x14ac:dyDescent="0.2">
      <c r="H24" s="99"/>
    </row>
    <row r="25" spans="2:12" x14ac:dyDescent="0.2">
      <c r="C25" s="170" t="s">
        <v>69</v>
      </c>
      <c r="D25" s="119"/>
      <c r="G25" s="170" t="s">
        <v>69</v>
      </c>
      <c r="H25" s="170" t="s">
        <v>16</v>
      </c>
      <c r="I25" s="173" t="s">
        <v>2</v>
      </c>
      <c r="J25" s="171"/>
      <c r="K25" s="171"/>
      <c r="L25" s="172"/>
    </row>
    <row r="26" spans="2:12" x14ac:dyDescent="0.2">
      <c r="C26" s="170" t="s">
        <v>2</v>
      </c>
      <c r="D26" s="119" t="s">
        <v>48</v>
      </c>
      <c r="G26" s="174"/>
      <c r="H26" s="160">
        <v>10</v>
      </c>
      <c r="I26" s="160">
        <v>15</v>
      </c>
      <c r="J26" s="160">
        <v>16</v>
      </c>
      <c r="K26" s="160">
        <v>17</v>
      </c>
      <c r="L26" s="161" t="s">
        <v>49</v>
      </c>
    </row>
    <row r="27" spans="2:12" x14ac:dyDescent="0.2">
      <c r="C27" s="118" t="s">
        <v>128</v>
      </c>
      <c r="D27" s="121">
        <v>4</v>
      </c>
      <c r="G27" s="170" t="s">
        <v>63</v>
      </c>
      <c r="H27" s="118" t="s">
        <v>125</v>
      </c>
      <c r="I27" s="118" t="s">
        <v>117</v>
      </c>
      <c r="J27" s="118" t="s">
        <v>118</v>
      </c>
      <c r="K27" s="118" t="s">
        <v>117</v>
      </c>
      <c r="L27" s="162"/>
    </row>
    <row r="28" spans="2:12" x14ac:dyDescent="0.2">
      <c r="C28" s="192" t="s">
        <v>131</v>
      </c>
      <c r="D28" s="122">
        <v>16</v>
      </c>
      <c r="G28" s="163">
        <v>0.29166666666666669</v>
      </c>
      <c r="H28" s="120">
        <v>3</v>
      </c>
      <c r="I28" s="120">
        <v>11</v>
      </c>
      <c r="J28" s="120">
        <v>3</v>
      </c>
      <c r="K28" s="120">
        <v>5</v>
      </c>
      <c r="L28" s="121">
        <v>22</v>
      </c>
    </row>
    <row r="29" spans="2:12" x14ac:dyDescent="0.2">
      <c r="C29" s="192" t="s">
        <v>127</v>
      </c>
      <c r="D29" s="122">
        <v>3</v>
      </c>
      <c r="G29" s="164">
        <v>0.625</v>
      </c>
      <c r="H29" s="136">
        <v>2</v>
      </c>
      <c r="I29" s="136"/>
      <c r="J29" s="136"/>
      <c r="K29" s="136"/>
      <c r="L29" s="122">
        <v>2</v>
      </c>
    </row>
    <row r="30" spans="2:12" x14ac:dyDescent="0.2">
      <c r="C30" s="123" t="s">
        <v>49</v>
      </c>
      <c r="D30" s="125">
        <v>23</v>
      </c>
      <c r="G30" s="164">
        <v>0.79166666666666663</v>
      </c>
      <c r="H30" s="136">
        <v>1</v>
      </c>
      <c r="I30" s="136">
        <v>15</v>
      </c>
      <c r="J30" s="136">
        <v>1</v>
      </c>
      <c r="K30" s="136"/>
      <c r="L30" s="122">
        <v>17</v>
      </c>
    </row>
    <row r="31" spans="2:12" x14ac:dyDescent="0.2">
      <c r="G31" s="164">
        <v>0.95833333333333337</v>
      </c>
      <c r="H31" s="136">
        <v>1</v>
      </c>
      <c r="I31" s="136"/>
      <c r="J31" s="136"/>
      <c r="K31" s="136"/>
      <c r="L31" s="122">
        <v>1</v>
      </c>
    </row>
    <row r="32" spans="2:12" x14ac:dyDescent="0.2">
      <c r="G32" s="164">
        <v>0.45833333333333331</v>
      </c>
      <c r="H32" s="136">
        <v>3</v>
      </c>
      <c r="I32" s="136"/>
      <c r="J32" s="136"/>
      <c r="K32" s="136"/>
      <c r="L32" s="122">
        <v>3</v>
      </c>
    </row>
    <row r="33" spans="7:12" x14ac:dyDescent="0.2">
      <c r="G33" s="164">
        <v>0.875</v>
      </c>
      <c r="H33" s="136">
        <v>3</v>
      </c>
      <c r="I33" s="136"/>
      <c r="J33" s="136"/>
      <c r="K33" s="136"/>
      <c r="L33" s="122">
        <v>3</v>
      </c>
    </row>
    <row r="34" spans="7:12" x14ac:dyDescent="0.2">
      <c r="G34" s="165" t="s">
        <v>49</v>
      </c>
      <c r="H34" s="124">
        <v>13</v>
      </c>
      <c r="I34" s="124">
        <v>26</v>
      </c>
      <c r="J34" s="124">
        <v>4</v>
      </c>
      <c r="K34" s="124">
        <v>5</v>
      </c>
      <c r="L34" s="125">
        <v>48</v>
      </c>
    </row>
    <row r="39" spans="7:12" x14ac:dyDescent="0.2">
      <c r="G39">
        <v>4</v>
      </c>
      <c r="H39" t="s">
        <v>88</v>
      </c>
    </row>
    <row r="41" spans="7:12" ht="18" customHeight="1" x14ac:dyDescent="0.2">
      <c r="H41" s="186" t="s">
        <v>2</v>
      </c>
      <c r="I41" s="187"/>
      <c r="J41" s="187"/>
      <c r="K41" s="188"/>
    </row>
    <row r="42" spans="7:12" ht="18" customHeight="1" x14ac:dyDescent="0.2">
      <c r="G42" s="179" t="s">
        <v>63</v>
      </c>
      <c r="H42" s="179" t="s">
        <v>116</v>
      </c>
      <c r="I42" s="179" t="s">
        <v>119</v>
      </c>
      <c r="J42" s="179" t="s">
        <v>117</v>
      </c>
      <c r="K42" s="179" t="s">
        <v>118</v>
      </c>
      <c r="L42" s="179" t="s">
        <v>122</v>
      </c>
    </row>
    <row r="43" spans="7:12" ht="18" customHeight="1" x14ac:dyDescent="0.2">
      <c r="G43" s="181">
        <v>0.29166666666666669</v>
      </c>
      <c r="H43" s="180">
        <v>2</v>
      </c>
      <c r="I43" s="180"/>
      <c r="J43" s="180">
        <v>3</v>
      </c>
      <c r="K43" s="180">
        <v>3</v>
      </c>
      <c r="L43" s="180">
        <v>8</v>
      </c>
    </row>
    <row r="44" spans="7:12" ht="18" customHeight="1" x14ac:dyDescent="0.2">
      <c r="G44" s="181">
        <v>0.375</v>
      </c>
      <c r="H44" s="180"/>
      <c r="I44" s="180">
        <v>1</v>
      </c>
      <c r="J44" s="180"/>
      <c r="K44" s="180"/>
      <c r="L44" s="180">
        <v>1</v>
      </c>
    </row>
    <row r="45" spans="7:12" ht="18" customHeight="1" x14ac:dyDescent="0.2">
      <c r="G45" s="181">
        <v>0.625</v>
      </c>
      <c r="H45" s="180">
        <v>1</v>
      </c>
      <c r="I45" s="180"/>
      <c r="J45" s="180"/>
      <c r="K45" s="180"/>
      <c r="L45" s="180">
        <v>1</v>
      </c>
    </row>
    <row r="46" spans="7:12" ht="18" customHeight="1" x14ac:dyDescent="0.2">
      <c r="G46" s="181">
        <v>0.79166666666666663</v>
      </c>
      <c r="H46" s="180"/>
      <c r="I46" s="180"/>
      <c r="J46" s="180">
        <v>3</v>
      </c>
      <c r="K46" s="180">
        <v>3</v>
      </c>
      <c r="L46" s="180">
        <v>6</v>
      </c>
    </row>
    <row r="47" spans="7:12" ht="18" customHeight="1" x14ac:dyDescent="0.2">
      <c r="G47" s="181">
        <v>0.91666666666666663</v>
      </c>
      <c r="H47" s="180"/>
      <c r="I47" s="180">
        <v>1</v>
      </c>
      <c r="J47" s="180"/>
      <c r="K47" s="180"/>
      <c r="L47" s="180">
        <v>1</v>
      </c>
    </row>
    <row r="48" spans="7:12" ht="18" customHeight="1" x14ac:dyDescent="0.2">
      <c r="G48" s="181">
        <v>0.95833333333333337</v>
      </c>
      <c r="H48" s="180"/>
      <c r="I48" s="180">
        <v>1</v>
      </c>
      <c r="J48" s="180"/>
      <c r="K48" s="180"/>
      <c r="L48" s="180">
        <v>1</v>
      </c>
    </row>
    <row r="49" spans="7:12" ht="18.75" customHeight="1" x14ac:dyDescent="0.2">
      <c r="G49" s="179" t="s">
        <v>49</v>
      </c>
      <c r="H49" s="179">
        <v>3</v>
      </c>
      <c r="I49" s="179">
        <v>3</v>
      </c>
      <c r="J49" s="179">
        <v>6</v>
      </c>
      <c r="K49" s="179">
        <v>6</v>
      </c>
      <c r="L49" s="179">
        <v>18</v>
      </c>
    </row>
  </sheetData>
  <mergeCells count="1">
    <mergeCell ref="H41:K41"/>
  </mergeCells>
  <phoneticPr fontId="16" type="noConversion"/>
  <pageMargins left="0.75" right="0.75" top="1" bottom="1" header="0.5" footer="0.5"/>
  <pageSetup orientation="landscape" horizontalDpi="300" verticalDpi="300" r:id="rId4"/>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C53"/>
  <sheetViews>
    <sheetView workbookViewId="0">
      <selection activeCell="O10" sqref="O10"/>
    </sheetView>
  </sheetViews>
  <sheetFormatPr defaultColWidth="8" defaultRowHeight="12.75" x14ac:dyDescent="0.2"/>
  <cols>
    <col min="1" max="1" width="8" style="74" customWidth="1"/>
    <col min="2" max="2" width="10.5703125" style="74" customWidth="1"/>
    <col min="3" max="3" width="8" style="74" customWidth="1"/>
    <col min="4" max="4" width="11.5703125" style="74" customWidth="1"/>
    <col min="5" max="5" width="8" style="74" customWidth="1"/>
    <col min="6" max="6" width="6.7109375" style="74" customWidth="1"/>
    <col min="7" max="7" width="14.140625" style="74" customWidth="1"/>
    <col min="8" max="14" width="8" style="74" customWidth="1"/>
    <col min="15" max="15" width="10" style="74" customWidth="1"/>
    <col min="16" max="16384" width="8" style="74"/>
  </cols>
  <sheetData>
    <row r="1" spans="1:29" ht="13.5" thickBot="1" x14ac:dyDescent="0.25">
      <c r="A1" s="189" t="s">
        <v>51</v>
      </c>
      <c r="B1" s="190"/>
      <c r="C1" s="190"/>
      <c r="D1" s="191"/>
    </row>
    <row r="2" spans="1:29" ht="13.5" thickBot="1" x14ac:dyDescent="0.25">
      <c r="A2" s="75"/>
      <c r="B2" s="76"/>
      <c r="C2" s="76"/>
      <c r="D2" s="77"/>
    </row>
    <row r="3" spans="1:29" ht="13.5" thickBot="1" x14ac:dyDescent="0.25">
      <c r="A3" s="75"/>
      <c r="B3" s="76"/>
      <c r="C3" s="76"/>
      <c r="D3" s="77"/>
      <c r="I3" s="78" t="s">
        <v>52</v>
      </c>
    </row>
    <row r="4" spans="1:29" ht="13.5" thickBot="1" x14ac:dyDescent="0.25">
      <c r="A4" s="75"/>
      <c r="B4" s="78" t="s">
        <v>53</v>
      </c>
      <c r="C4" s="76"/>
      <c r="D4" s="79" t="s">
        <v>54</v>
      </c>
      <c r="G4" s="80"/>
      <c r="H4" s="81"/>
      <c r="I4" s="82"/>
      <c r="J4" s="83" t="s">
        <v>42</v>
      </c>
      <c r="K4" s="84"/>
      <c r="L4" s="85"/>
      <c r="M4" s="83" t="s">
        <v>42</v>
      </c>
      <c r="N4" s="84"/>
      <c r="O4" s="85">
        <v>0</v>
      </c>
      <c r="P4" s="83" t="s">
        <v>43</v>
      </c>
      <c r="Q4" s="84">
        <v>0.33333333333333331</v>
      </c>
      <c r="R4" s="85">
        <v>0</v>
      </c>
      <c r="S4" s="83" t="s">
        <v>43</v>
      </c>
      <c r="T4" s="84">
        <v>0.33333333333333331</v>
      </c>
      <c r="U4" s="85">
        <v>0</v>
      </c>
      <c r="V4" s="83" t="s">
        <v>43</v>
      </c>
      <c r="W4" s="84">
        <v>0.33333333333333331</v>
      </c>
      <c r="X4" s="85">
        <v>0</v>
      </c>
      <c r="Y4" s="83" t="s">
        <v>43</v>
      </c>
      <c r="Z4" s="84">
        <v>0.33333333333333331</v>
      </c>
      <c r="AA4" s="85">
        <v>0</v>
      </c>
      <c r="AB4" s="83" t="s">
        <v>43</v>
      </c>
      <c r="AC4" s="84">
        <v>0.33333333333333331</v>
      </c>
    </row>
    <row r="5" spans="1:29" x14ac:dyDescent="0.2">
      <c r="A5" s="75"/>
      <c r="B5" s="86">
        <v>0</v>
      </c>
      <c r="C5" s="87"/>
      <c r="D5" s="88" t="s">
        <v>55</v>
      </c>
    </row>
    <row r="6" spans="1:29" ht="13.5" thickBot="1" x14ac:dyDescent="0.25">
      <c r="A6" s="75"/>
      <c r="B6" s="89">
        <v>2.0833333333333332E-2</v>
      </c>
      <c r="C6" s="87"/>
      <c r="D6" s="90">
        <v>33</v>
      </c>
    </row>
    <row r="7" spans="1:29" ht="13.5" thickBot="1" x14ac:dyDescent="0.25">
      <c r="A7" s="75"/>
      <c r="B7" s="89">
        <v>4.1666666666666664E-2</v>
      </c>
      <c r="C7" s="87"/>
      <c r="D7" s="77"/>
    </row>
    <row r="8" spans="1:29" ht="13.5" thickBot="1" x14ac:dyDescent="0.25">
      <c r="A8" s="75"/>
      <c r="B8" s="89">
        <v>6.25E-2</v>
      </c>
      <c r="C8" s="87"/>
      <c r="D8" s="77"/>
      <c r="G8" s="91" t="s">
        <v>114</v>
      </c>
      <c r="J8" s="91" t="s">
        <v>113</v>
      </c>
      <c r="K8" s="91"/>
      <c r="M8" s="92" t="s">
        <v>56</v>
      </c>
      <c r="N8" s="93"/>
      <c r="O8" s="93"/>
      <c r="Q8" s="91" t="s">
        <v>66</v>
      </c>
      <c r="R8" s="91"/>
      <c r="S8" s="91"/>
      <c r="T8" s="113">
        <v>8.3333333333333329E-2</v>
      </c>
    </row>
    <row r="9" spans="1:29" x14ac:dyDescent="0.2">
      <c r="A9" s="75"/>
      <c r="B9" s="89">
        <v>8.3333333333333329E-2</v>
      </c>
      <c r="C9" s="87"/>
      <c r="D9" s="77"/>
      <c r="G9" s="74">
        <v>1</v>
      </c>
      <c r="H9" s="132" t="s">
        <v>128</v>
      </c>
      <c r="J9" s="74">
        <v>1</v>
      </c>
      <c r="K9" s="132" t="s">
        <v>128</v>
      </c>
      <c r="M9" s="74">
        <v>1</v>
      </c>
      <c r="N9" s="74">
        <v>40</v>
      </c>
      <c r="O9" s="128" t="s">
        <v>134</v>
      </c>
    </row>
    <row r="10" spans="1:29" x14ac:dyDescent="0.2">
      <c r="A10" s="75"/>
      <c r="B10" s="89">
        <v>0.10416666666666666</v>
      </c>
      <c r="C10" s="87"/>
      <c r="D10" s="77"/>
      <c r="G10" s="74">
        <v>2</v>
      </c>
      <c r="H10" s="132" t="s">
        <v>132</v>
      </c>
      <c r="J10" s="74">
        <v>2</v>
      </c>
      <c r="K10" s="132" t="s">
        <v>132</v>
      </c>
      <c r="M10" s="74">
        <v>2</v>
      </c>
      <c r="N10" s="74">
        <v>32</v>
      </c>
      <c r="O10" s="128" t="s">
        <v>126</v>
      </c>
    </row>
    <row r="11" spans="1:29" x14ac:dyDescent="0.2">
      <c r="A11" s="75"/>
      <c r="B11" s="89">
        <v>0.125</v>
      </c>
      <c r="C11" s="87"/>
      <c r="D11" s="77"/>
      <c r="G11" s="74">
        <v>3</v>
      </c>
      <c r="H11" s="132" t="s">
        <v>131</v>
      </c>
      <c r="J11" s="74">
        <v>3</v>
      </c>
      <c r="K11" s="132" t="s">
        <v>131</v>
      </c>
      <c r="M11" s="74">
        <v>3</v>
      </c>
      <c r="N11" s="74">
        <v>80</v>
      </c>
      <c r="O11" s="128" t="s">
        <v>124</v>
      </c>
    </row>
    <row r="12" spans="1:29" x14ac:dyDescent="0.2">
      <c r="A12" s="75"/>
      <c r="B12" s="89">
        <v>0.14583333333333331</v>
      </c>
      <c r="C12" s="87"/>
      <c r="D12" s="77"/>
      <c r="G12" s="74">
        <v>4</v>
      </c>
      <c r="H12" s="132" t="s">
        <v>129</v>
      </c>
      <c r="J12" s="74">
        <v>4</v>
      </c>
      <c r="K12" s="132" t="s">
        <v>129</v>
      </c>
      <c r="M12" s="74">
        <v>4</v>
      </c>
      <c r="N12" s="74">
        <v>16</v>
      </c>
      <c r="O12" s="128"/>
    </row>
    <row r="13" spans="1:29" x14ac:dyDescent="0.2">
      <c r="A13" s="75"/>
      <c r="B13" s="89">
        <v>0.16666666666666666</v>
      </c>
      <c r="C13" s="87"/>
      <c r="D13" s="77"/>
      <c r="G13" s="74">
        <v>5</v>
      </c>
      <c r="H13" s="132" t="s">
        <v>130</v>
      </c>
      <c r="J13" s="74">
        <v>5</v>
      </c>
      <c r="K13" s="132" t="s">
        <v>130</v>
      </c>
      <c r="M13" s="74">
        <v>5</v>
      </c>
      <c r="N13" s="74">
        <v>8</v>
      </c>
      <c r="O13" s="128"/>
    </row>
    <row r="14" spans="1:29" x14ac:dyDescent="0.2">
      <c r="A14" s="75"/>
      <c r="B14" s="89">
        <v>0.1875</v>
      </c>
      <c r="C14" s="87"/>
      <c r="D14" s="77"/>
      <c r="G14" s="74">
        <v>6</v>
      </c>
      <c r="H14" s="132" t="s">
        <v>127</v>
      </c>
      <c r="J14" s="74">
        <v>6</v>
      </c>
      <c r="K14" s="132" t="s">
        <v>127</v>
      </c>
      <c r="M14" s="74">
        <v>6</v>
      </c>
      <c r="N14" s="74">
        <v>80</v>
      </c>
      <c r="O14" s="128" t="s">
        <v>133</v>
      </c>
    </row>
    <row r="15" spans="1:29" x14ac:dyDescent="0.2">
      <c r="A15" s="75"/>
      <c r="B15" s="89">
        <v>0.20833333333333331</v>
      </c>
      <c r="C15" s="87"/>
      <c r="D15" s="77"/>
      <c r="G15" s="74">
        <v>7</v>
      </c>
      <c r="J15" s="74">
        <v>7</v>
      </c>
      <c r="K15" s="132"/>
      <c r="M15" s="74">
        <v>7</v>
      </c>
      <c r="N15" s="74">
        <v>48</v>
      </c>
      <c r="O15" s="182"/>
    </row>
    <row r="16" spans="1:29" x14ac:dyDescent="0.2">
      <c r="A16" s="75"/>
      <c r="B16" s="89">
        <v>0.22916666666666666</v>
      </c>
      <c r="C16" s="87"/>
      <c r="D16" s="77"/>
      <c r="G16" s="74">
        <v>8</v>
      </c>
      <c r="J16" s="74">
        <v>8</v>
      </c>
      <c r="K16" s="132"/>
      <c r="M16" s="74">
        <v>8</v>
      </c>
      <c r="N16" s="74">
        <v>32</v>
      </c>
      <c r="O16" s="182"/>
    </row>
    <row r="17" spans="1:15" x14ac:dyDescent="0.2">
      <c r="A17" s="75"/>
      <c r="B17" s="89">
        <v>0.25</v>
      </c>
      <c r="C17" s="87"/>
      <c r="D17" s="77"/>
      <c r="G17" s="74">
        <v>9</v>
      </c>
      <c r="J17" s="74">
        <v>9</v>
      </c>
      <c r="K17" s="132"/>
      <c r="M17" s="74">
        <v>9</v>
      </c>
      <c r="N17" s="74">
        <v>80</v>
      </c>
      <c r="O17" s="182"/>
    </row>
    <row r="18" spans="1:15" x14ac:dyDescent="0.2">
      <c r="A18" s="75"/>
      <c r="B18" s="89">
        <v>0.27083333333333331</v>
      </c>
      <c r="C18" s="76"/>
      <c r="D18" s="77"/>
      <c r="G18" s="74">
        <v>10</v>
      </c>
      <c r="J18" s="74">
        <v>10</v>
      </c>
      <c r="K18" s="132"/>
      <c r="M18" s="74">
        <v>10</v>
      </c>
      <c r="N18" s="74">
        <v>16</v>
      </c>
      <c r="O18" s="128"/>
    </row>
    <row r="19" spans="1:15" x14ac:dyDescent="0.2">
      <c r="A19" s="75"/>
      <c r="B19" s="89">
        <v>0.29166666666666663</v>
      </c>
      <c r="C19" s="76"/>
      <c r="D19" s="77"/>
      <c r="G19" s="74">
        <v>11</v>
      </c>
      <c r="J19" s="74">
        <v>11</v>
      </c>
      <c r="K19" s="132"/>
      <c r="M19" s="74">
        <v>11</v>
      </c>
      <c r="N19" s="74">
        <v>60</v>
      </c>
      <c r="O19" s="128"/>
    </row>
    <row r="20" spans="1:15" x14ac:dyDescent="0.2">
      <c r="A20" s="75"/>
      <c r="B20" s="89">
        <v>0.3125</v>
      </c>
      <c r="C20" s="76"/>
      <c r="D20" s="77"/>
      <c r="G20" s="74">
        <v>12</v>
      </c>
      <c r="J20" s="74">
        <v>12</v>
      </c>
      <c r="K20" s="132"/>
      <c r="M20" s="74">
        <v>12</v>
      </c>
      <c r="N20" s="74">
        <v>40</v>
      </c>
      <c r="O20" s="182"/>
    </row>
    <row r="21" spans="1:15" x14ac:dyDescent="0.2">
      <c r="A21" s="75"/>
      <c r="B21" s="89">
        <v>0.33333333333333331</v>
      </c>
      <c r="C21" s="76"/>
      <c r="D21" s="77"/>
      <c r="G21" s="74">
        <v>13</v>
      </c>
      <c r="J21" s="74">
        <v>13</v>
      </c>
      <c r="K21" s="132"/>
      <c r="M21" s="74">
        <v>13</v>
      </c>
      <c r="N21" s="74">
        <v>20</v>
      </c>
      <c r="O21" s="182"/>
    </row>
    <row r="22" spans="1:15" x14ac:dyDescent="0.2">
      <c r="A22" s="75"/>
      <c r="B22" s="89">
        <v>0.35416666666666663</v>
      </c>
      <c r="C22" s="76"/>
      <c r="D22" s="77"/>
      <c r="G22" s="74">
        <v>14</v>
      </c>
      <c r="J22" s="74">
        <v>14</v>
      </c>
      <c r="K22" s="132"/>
      <c r="M22" s="74">
        <v>14</v>
      </c>
      <c r="N22" s="74">
        <v>80</v>
      </c>
      <c r="O22" s="182"/>
    </row>
    <row r="23" spans="1:15" x14ac:dyDescent="0.2">
      <c r="A23" s="75"/>
      <c r="B23" s="89">
        <v>0.375</v>
      </c>
      <c r="C23" s="76"/>
      <c r="D23" s="77"/>
      <c r="G23" s="74">
        <v>15</v>
      </c>
      <c r="J23" s="74">
        <v>15</v>
      </c>
      <c r="K23" s="132"/>
      <c r="M23" s="74">
        <v>15</v>
      </c>
      <c r="N23" s="74">
        <v>80</v>
      </c>
      <c r="O23" s="128"/>
    </row>
    <row r="24" spans="1:15" x14ac:dyDescent="0.2">
      <c r="A24" s="75"/>
      <c r="B24" s="89">
        <v>0.39583333333333331</v>
      </c>
      <c r="C24" s="76"/>
      <c r="D24" s="77"/>
      <c r="G24" s="74">
        <v>16</v>
      </c>
      <c r="J24" s="74">
        <v>16</v>
      </c>
      <c r="M24" s="74">
        <v>16</v>
      </c>
      <c r="N24" s="74">
        <v>84</v>
      </c>
      <c r="O24" s="128"/>
    </row>
    <row r="25" spans="1:15" x14ac:dyDescent="0.2">
      <c r="A25" s="75"/>
      <c r="B25" s="89">
        <v>0.41666666666666663</v>
      </c>
      <c r="C25" s="76"/>
      <c r="D25" s="77"/>
      <c r="G25" s="74">
        <v>17</v>
      </c>
      <c r="J25" s="74">
        <v>17</v>
      </c>
      <c r="M25" s="74">
        <v>17</v>
      </c>
      <c r="N25" s="74">
        <v>84</v>
      </c>
      <c r="O25" s="128"/>
    </row>
    <row r="26" spans="1:15" x14ac:dyDescent="0.2">
      <c r="A26" s="75"/>
      <c r="B26" s="89">
        <v>0.4375</v>
      </c>
      <c r="C26" s="76"/>
      <c r="D26" s="77"/>
      <c r="G26" s="74">
        <v>18</v>
      </c>
      <c r="J26" s="74">
        <v>18</v>
      </c>
      <c r="M26" s="74">
        <v>18</v>
      </c>
    </row>
    <row r="27" spans="1:15" x14ac:dyDescent="0.2">
      <c r="A27" s="75"/>
      <c r="B27" s="89">
        <v>0.45833333333333331</v>
      </c>
      <c r="C27" s="76"/>
      <c r="D27" s="77"/>
      <c r="G27" s="74">
        <v>19</v>
      </c>
      <c r="J27" s="74">
        <v>19</v>
      </c>
      <c r="M27" s="74">
        <v>19</v>
      </c>
      <c r="O27" s="128"/>
    </row>
    <row r="28" spans="1:15" x14ac:dyDescent="0.2">
      <c r="A28" s="75"/>
      <c r="B28" s="89">
        <v>0.47916666666666663</v>
      </c>
      <c r="C28" s="76"/>
      <c r="D28" s="77"/>
      <c r="G28" s="74">
        <v>20</v>
      </c>
      <c r="J28" s="74">
        <v>20</v>
      </c>
      <c r="M28" s="74">
        <v>20</v>
      </c>
    </row>
    <row r="29" spans="1:15" x14ac:dyDescent="0.2">
      <c r="A29" s="75"/>
      <c r="B29" s="89">
        <v>0.5</v>
      </c>
      <c r="C29" s="76"/>
      <c r="D29" s="77"/>
    </row>
    <row r="30" spans="1:15" x14ac:dyDescent="0.2">
      <c r="A30" s="75"/>
      <c r="B30" s="89">
        <v>0.52083333333333326</v>
      </c>
      <c r="C30" s="76"/>
      <c r="D30" s="77"/>
    </row>
    <row r="31" spans="1:15" x14ac:dyDescent="0.2">
      <c r="A31" s="75"/>
      <c r="B31" s="89">
        <v>0.54166666666666663</v>
      </c>
      <c r="C31" s="76"/>
      <c r="D31" s="77"/>
    </row>
    <row r="32" spans="1:15" x14ac:dyDescent="0.2">
      <c r="A32" s="75"/>
      <c r="B32" s="89">
        <v>0.5625</v>
      </c>
      <c r="C32" s="76"/>
      <c r="D32" s="77"/>
    </row>
    <row r="33" spans="1:4" x14ac:dyDescent="0.2">
      <c r="A33" s="75"/>
      <c r="B33" s="89">
        <v>0.58333333333333326</v>
      </c>
      <c r="C33" s="76"/>
      <c r="D33" s="77"/>
    </row>
    <row r="34" spans="1:4" x14ac:dyDescent="0.2">
      <c r="A34" s="75"/>
      <c r="B34" s="89">
        <v>0.60416666666666663</v>
      </c>
      <c r="C34" s="76"/>
      <c r="D34" s="77"/>
    </row>
    <row r="35" spans="1:4" x14ac:dyDescent="0.2">
      <c r="A35" s="75"/>
      <c r="B35" s="89">
        <v>0.625</v>
      </c>
      <c r="C35" s="76"/>
      <c r="D35" s="77"/>
    </row>
    <row r="36" spans="1:4" x14ac:dyDescent="0.2">
      <c r="A36" s="75"/>
      <c r="B36" s="89">
        <v>0.64583333333333326</v>
      </c>
      <c r="C36" s="76"/>
      <c r="D36" s="77"/>
    </row>
    <row r="37" spans="1:4" x14ac:dyDescent="0.2">
      <c r="A37" s="75"/>
      <c r="B37" s="89">
        <v>0.66666666666666663</v>
      </c>
      <c r="C37" s="76"/>
      <c r="D37" s="77"/>
    </row>
    <row r="38" spans="1:4" x14ac:dyDescent="0.2">
      <c r="A38" s="75"/>
      <c r="B38" s="89">
        <v>0.6875</v>
      </c>
      <c r="C38" s="76"/>
      <c r="D38" s="77"/>
    </row>
    <row r="39" spans="1:4" x14ac:dyDescent="0.2">
      <c r="A39" s="75"/>
      <c r="B39" s="89">
        <v>0.70833333333333326</v>
      </c>
      <c r="C39" s="76"/>
      <c r="D39" s="77"/>
    </row>
    <row r="40" spans="1:4" x14ac:dyDescent="0.2">
      <c r="A40" s="75"/>
      <c r="B40" s="89">
        <v>0.72916666666666663</v>
      </c>
      <c r="C40" s="76"/>
      <c r="D40" s="77"/>
    </row>
    <row r="41" spans="1:4" x14ac:dyDescent="0.2">
      <c r="A41" s="75"/>
      <c r="B41" s="89">
        <v>0.75</v>
      </c>
      <c r="C41" s="76"/>
      <c r="D41" s="77"/>
    </row>
    <row r="42" spans="1:4" x14ac:dyDescent="0.2">
      <c r="A42" s="75"/>
      <c r="B42" s="89">
        <v>0.77083333333333326</v>
      </c>
      <c r="C42" s="76"/>
      <c r="D42" s="77"/>
    </row>
    <row r="43" spans="1:4" x14ac:dyDescent="0.2">
      <c r="A43" s="75"/>
      <c r="B43" s="89">
        <v>0.79166666666666663</v>
      </c>
      <c r="C43" s="76"/>
      <c r="D43" s="77"/>
    </row>
    <row r="44" spans="1:4" x14ac:dyDescent="0.2">
      <c r="A44" s="75"/>
      <c r="B44" s="89">
        <v>0.8125</v>
      </c>
      <c r="C44" s="76"/>
      <c r="D44" s="77"/>
    </row>
    <row r="45" spans="1:4" x14ac:dyDescent="0.2">
      <c r="A45" s="75"/>
      <c r="B45" s="89">
        <v>0.83333333333333326</v>
      </c>
      <c r="C45" s="76"/>
      <c r="D45" s="77"/>
    </row>
    <row r="46" spans="1:4" x14ac:dyDescent="0.2">
      <c r="A46" s="75"/>
      <c r="B46" s="89">
        <v>0.85416666666666663</v>
      </c>
      <c r="C46" s="76"/>
      <c r="D46" s="77"/>
    </row>
    <row r="47" spans="1:4" x14ac:dyDescent="0.2">
      <c r="A47" s="75"/>
      <c r="B47" s="89">
        <v>0.875</v>
      </c>
      <c r="C47" s="76"/>
      <c r="D47" s="77"/>
    </row>
    <row r="48" spans="1:4" x14ac:dyDescent="0.2">
      <c r="A48" s="75"/>
      <c r="B48" s="89">
        <v>0.89583333333333326</v>
      </c>
      <c r="C48" s="76"/>
      <c r="D48" s="77"/>
    </row>
    <row r="49" spans="1:4" x14ac:dyDescent="0.2">
      <c r="A49" s="75"/>
      <c r="B49" s="89">
        <v>0.91666666666666663</v>
      </c>
      <c r="C49" s="76"/>
      <c r="D49" s="77"/>
    </row>
    <row r="50" spans="1:4" x14ac:dyDescent="0.2">
      <c r="A50" s="75"/>
      <c r="B50" s="89">
        <v>0.9375</v>
      </c>
      <c r="C50" s="76"/>
      <c r="D50" s="77"/>
    </row>
    <row r="51" spans="1:4" x14ac:dyDescent="0.2">
      <c r="A51" s="75"/>
      <c r="B51" s="89">
        <v>0.95833333333333326</v>
      </c>
      <c r="C51" s="76"/>
      <c r="D51" s="77"/>
    </row>
    <row r="52" spans="1:4" ht="13.5" thickBot="1" x14ac:dyDescent="0.25">
      <c r="A52" s="75"/>
      <c r="B52" s="94">
        <v>0.97916666666666663</v>
      </c>
      <c r="C52" s="76"/>
      <c r="D52" s="77"/>
    </row>
    <row r="53" spans="1:4" ht="13.5" thickBot="1" x14ac:dyDescent="0.25">
      <c r="A53" s="95"/>
      <c r="B53" s="96"/>
      <c r="C53" s="96"/>
      <c r="D53" s="97"/>
    </row>
  </sheetData>
  <mergeCells count="1">
    <mergeCell ref="A1:D1"/>
  </mergeCells>
  <phoneticPr fontId="16" type="noConversion"/>
  <printOptions gridLines="1" gridLinesSet="0"/>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4:Z24"/>
  <sheetViews>
    <sheetView workbookViewId="0">
      <selection activeCell="B2" sqref="B2:Z24"/>
    </sheetView>
  </sheetViews>
  <sheetFormatPr defaultRowHeight="12.75" x14ac:dyDescent="0.2"/>
  <sheetData>
    <row r="4" spans="2:26" x14ac:dyDescent="0.2">
      <c r="E4" t="s">
        <v>120</v>
      </c>
    </row>
    <row r="6" spans="2:26" x14ac:dyDescent="0.2">
      <c r="B6" t="s">
        <v>25</v>
      </c>
      <c r="C6" t="s">
        <v>28</v>
      </c>
      <c r="D6" t="s">
        <v>2</v>
      </c>
      <c r="E6" t="s">
        <v>33</v>
      </c>
      <c r="H6" t="s">
        <v>34</v>
      </c>
      <c r="K6" t="s">
        <v>35</v>
      </c>
      <c r="N6" t="s">
        <v>36</v>
      </c>
      <c r="Q6" t="s">
        <v>37</v>
      </c>
      <c r="T6" t="s">
        <v>38</v>
      </c>
      <c r="W6" t="s">
        <v>39</v>
      </c>
      <c r="Z6" t="s">
        <v>40</v>
      </c>
    </row>
    <row r="7" spans="2:26" x14ac:dyDescent="0.2">
      <c r="B7">
        <v>8</v>
      </c>
      <c r="C7">
        <v>5</v>
      </c>
      <c r="D7" t="s">
        <v>116</v>
      </c>
      <c r="E7">
        <v>0.29166666666666669</v>
      </c>
      <c r="F7" t="s">
        <v>43</v>
      </c>
      <c r="G7">
        <v>0.625</v>
      </c>
      <c r="I7" t="s">
        <v>42</v>
      </c>
      <c r="K7">
        <v>0.29166666666666669</v>
      </c>
      <c r="L7" t="s">
        <v>43</v>
      </c>
      <c r="M7">
        <v>0.625</v>
      </c>
      <c r="N7">
        <v>0.29166666666666669</v>
      </c>
      <c r="O7" t="s">
        <v>43</v>
      </c>
      <c r="P7">
        <v>0.625</v>
      </c>
      <c r="Q7">
        <v>0.29166666666666669</v>
      </c>
      <c r="R7" t="s">
        <v>43</v>
      </c>
      <c r="S7">
        <v>0.625</v>
      </c>
      <c r="T7">
        <v>0.29166666666666669</v>
      </c>
      <c r="U7" t="s">
        <v>43</v>
      </c>
      <c r="V7">
        <v>0.625</v>
      </c>
      <c r="X7" t="s">
        <v>42</v>
      </c>
      <c r="Z7">
        <v>40</v>
      </c>
    </row>
    <row r="8" spans="2:26" x14ac:dyDescent="0.2">
      <c r="B8">
        <v>8</v>
      </c>
      <c r="C8">
        <v>5</v>
      </c>
      <c r="D8" t="s">
        <v>116</v>
      </c>
      <c r="E8">
        <v>0.29166666666666669</v>
      </c>
      <c r="F8" t="s">
        <v>43</v>
      </c>
      <c r="G8">
        <v>0.625</v>
      </c>
      <c r="H8">
        <v>0.29166666666666669</v>
      </c>
      <c r="I8" t="s">
        <v>43</v>
      </c>
      <c r="J8">
        <v>0.625</v>
      </c>
      <c r="L8" t="s">
        <v>42</v>
      </c>
      <c r="O8" t="s">
        <v>42</v>
      </c>
      <c r="Q8">
        <v>0.29166666666666669</v>
      </c>
      <c r="R8" t="s">
        <v>43</v>
      </c>
      <c r="S8">
        <v>0.625</v>
      </c>
      <c r="T8">
        <v>0.29166666666666669</v>
      </c>
      <c r="U8" t="s">
        <v>43</v>
      </c>
      <c r="V8">
        <v>0.625</v>
      </c>
      <c r="W8">
        <v>0.29166666666666669</v>
      </c>
      <c r="X8" t="s">
        <v>43</v>
      </c>
      <c r="Y8">
        <v>0.625</v>
      </c>
      <c r="Z8">
        <v>40</v>
      </c>
    </row>
    <row r="9" spans="2:26" x14ac:dyDescent="0.2">
      <c r="B9">
        <v>12.000000000000002</v>
      </c>
      <c r="C9">
        <v>4</v>
      </c>
      <c r="D9" t="s">
        <v>118</v>
      </c>
      <c r="E9">
        <v>0.29166666666666669</v>
      </c>
      <c r="F9" t="s">
        <v>43</v>
      </c>
      <c r="G9">
        <v>0.79166666666666674</v>
      </c>
      <c r="H9">
        <v>0.29166666666666669</v>
      </c>
      <c r="I9" t="s">
        <v>43</v>
      </c>
      <c r="J9">
        <v>0.79166666666666674</v>
      </c>
      <c r="K9">
        <v>0.29166666666666669</v>
      </c>
      <c r="L9" t="s">
        <v>43</v>
      </c>
      <c r="M9">
        <v>0.79166666666666674</v>
      </c>
      <c r="N9">
        <v>0.29166666666666669</v>
      </c>
      <c r="O9" t="s">
        <v>43</v>
      </c>
      <c r="P9">
        <v>0.79166666666666674</v>
      </c>
      <c r="R9" t="s">
        <v>42</v>
      </c>
      <c r="U9" t="s">
        <v>42</v>
      </c>
      <c r="X9" t="s">
        <v>42</v>
      </c>
      <c r="Z9">
        <v>48.000000000000007</v>
      </c>
    </row>
    <row r="10" spans="2:26" x14ac:dyDescent="0.2">
      <c r="B10">
        <v>12.000000000000002</v>
      </c>
      <c r="C10">
        <v>4</v>
      </c>
      <c r="D10" t="s">
        <v>118</v>
      </c>
      <c r="F10" t="s">
        <v>42</v>
      </c>
      <c r="H10">
        <v>0.29166666666666669</v>
      </c>
      <c r="I10" t="s">
        <v>43</v>
      </c>
      <c r="J10">
        <v>0.79166666666666674</v>
      </c>
      <c r="L10" t="s">
        <v>42</v>
      </c>
      <c r="N10">
        <v>0.29166666666666669</v>
      </c>
      <c r="O10" t="s">
        <v>43</v>
      </c>
      <c r="P10">
        <v>0.79166666666666674</v>
      </c>
      <c r="R10" t="s">
        <v>42</v>
      </c>
      <c r="T10">
        <v>0.29166666666666669</v>
      </c>
      <c r="U10" t="s">
        <v>43</v>
      </c>
      <c r="V10">
        <v>0.79166666666666674</v>
      </c>
      <c r="W10">
        <v>0.29166666666666669</v>
      </c>
      <c r="X10" t="s">
        <v>43</v>
      </c>
      <c r="Y10">
        <v>0.79166666666666674</v>
      </c>
      <c r="Z10">
        <v>48.000000000000007</v>
      </c>
    </row>
    <row r="11" spans="2:26" x14ac:dyDescent="0.2">
      <c r="B11">
        <v>12.000000000000002</v>
      </c>
      <c r="C11">
        <v>4</v>
      </c>
      <c r="D11" t="s">
        <v>118</v>
      </c>
      <c r="F11" t="s">
        <v>42</v>
      </c>
      <c r="H11">
        <v>0.29166666666666669</v>
      </c>
      <c r="I11" t="s">
        <v>43</v>
      </c>
      <c r="J11">
        <v>0.79166666666666674</v>
      </c>
      <c r="L11" t="s">
        <v>42</v>
      </c>
      <c r="N11">
        <v>0.29166666666666669</v>
      </c>
      <c r="O11" t="s">
        <v>43</v>
      </c>
      <c r="P11">
        <v>0.79166666666666674</v>
      </c>
      <c r="Q11">
        <v>0.29166666666666669</v>
      </c>
      <c r="R11" t="s">
        <v>43</v>
      </c>
      <c r="S11">
        <v>0.79166666666666674</v>
      </c>
      <c r="U11" t="s">
        <v>42</v>
      </c>
      <c r="W11">
        <v>0.29166666666666669</v>
      </c>
      <c r="X11" t="s">
        <v>43</v>
      </c>
      <c r="Y11">
        <v>0.79166666666666674</v>
      </c>
      <c r="Z11">
        <v>48.000000000000007</v>
      </c>
    </row>
    <row r="12" spans="2:26" x14ac:dyDescent="0.2">
      <c r="B12">
        <v>12.000000000000002</v>
      </c>
      <c r="C12">
        <v>3</v>
      </c>
      <c r="D12" t="s">
        <v>117</v>
      </c>
      <c r="F12" t="s">
        <v>42</v>
      </c>
      <c r="I12" t="s">
        <v>42</v>
      </c>
      <c r="K12">
        <v>0.29166666666666669</v>
      </c>
      <c r="L12" t="s">
        <v>43</v>
      </c>
      <c r="M12">
        <v>0.79166666666666674</v>
      </c>
      <c r="N12">
        <v>0.29166666666666669</v>
      </c>
      <c r="O12" t="s">
        <v>43</v>
      </c>
      <c r="P12">
        <v>0.79166666666666674</v>
      </c>
      <c r="R12" t="s">
        <v>42</v>
      </c>
      <c r="U12" t="s">
        <v>42</v>
      </c>
      <c r="W12">
        <v>0.29166666666666669</v>
      </c>
      <c r="X12" t="s">
        <v>43</v>
      </c>
      <c r="Y12">
        <v>0.79166666666666674</v>
      </c>
      <c r="Z12">
        <v>36.000000000000007</v>
      </c>
    </row>
    <row r="13" spans="2:26" x14ac:dyDescent="0.2">
      <c r="B13">
        <v>12.000000000000002</v>
      </c>
      <c r="C13">
        <v>3</v>
      </c>
      <c r="D13" t="s">
        <v>117</v>
      </c>
      <c r="E13">
        <v>0.29166666666666669</v>
      </c>
      <c r="F13" t="s">
        <v>43</v>
      </c>
      <c r="G13">
        <v>0.79166666666666674</v>
      </c>
      <c r="I13" t="s">
        <v>42</v>
      </c>
      <c r="K13">
        <v>0.29166666666666669</v>
      </c>
      <c r="L13" t="s">
        <v>43</v>
      </c>
      <c r="M13">
        <v>0.79166666666666674</v>
      </c>
      <c r="O13" t="s">
        <v>42</v>
      </c>
      <c r="R13" t="s">
        <v>42</v>
      </c>
      <c r="T13">
        <v>0.29166666666666669</v>
      </c>
      <c r="U13" t="s">
        <v>43</v>
      </c>
      <c r="V13">
        <v>0.79166666666666674</v>
      </c>
      <c r="X13" t="s">
        <v>42</v>
      </c>
      <c r="Z13">
        <v>36.000000000000007</v>
      </c>
    </row>
    <row r="14" spans="2:26" x14ac:dyDescent="0.2">
      <c r="B14">
        <v>12.000000000000002</v>
      </c>
      <c r="C14">
        <v>3</v>
      </c>
      <c r="D14" t="s">
        <v>117</v>
      </c>
      <c r="E14">
        <v>0.29166666666666669</v>
      </c>
      <c r="F14" t="s">
        <v>43</v>
      </c>
      <c r="G14">
        <v>0.79166666666666674</v>
      </c>
      <c r="I14" t="s">
        <v>42</v>
      </c>
      <c r="L14" t="s">
        <v>42</v>
      </c>
      <c r="O14" t="s">
        <v>42</v>
      </c>
      <c r="Q14">
        <v>0.29166666666666669</v>
      </c>
      <c r="R14" t="s">
        <v>43</v>
      </c>
      <c r="S14">
        <v>0.79166666666666674</v>
      </c>
      <c r="U14" t="s">
        <v>42</v>
      </c>
      <c r="W14">
        <v>0.29166666666666669</v>
      </c>
      <c r="X14" t="s">
        <v>43</v>
      </c>
      <c r="Y14">
        <v>0.79166666666666674</v>
      </c>
      <c r="Z14">
        <v>36.000000000000007</v>
      </c>
    </row>
    <row r="15" spans="2:26" x14ac:dyDescent="0.2">
      <c r="B15">
        <v>10</v>
      </c>
      <c r="C15">
        <v>4</v>
      </c>
      <c r="D15" t="s">
        <v>119</v>
      </c>
      <c r="F15" t="s">
        <v>42</v>
      </c>
      <c r="H15">
        <v>0.375</v>
      </c>
      <c r="I15" t="s">
        <v>43</v>
      </c>
      <c r="J15">
        <v>0.79166666666666663</v>
      </c>
      <c r="K15">
        <v>0.375</v>
      </c>
      <c r="L15" t="s">
        <v>43</v>
      </c>
      <c r="M15">
        <v>0.79166666666666663</v>
      </c>
      <c r="O15" t="s">
        <v>42</v>
      </c>
      <c r="Q15">
        <v>0.375</v>
      </c>
      <c r="R15" t="s">
        <v>43</v>
      </c>
      <c r="S15">
        <v>0.79166666666666663</v>
      </c>
      <c r="T15">
        <v>0.375</v>
      </c>
      <c r="U15" t="s">
        <v>43</v>
      </c>
      <c r="V15">
        <v>0.79166666666666663</v>
      </c>
      <c r="X15" t="s">
        <v>42</v>
      </c>
      <c r="Z15">
        <v>40</v>
      </c>
    </row>
    <row r="16" spans="2:26" x14ac:dyDescent="0.2">
      <c r="B16">
        <v>8</v>
      </c>
      <c r="C16">
        <v>5</v>
      </c>
      <c r="D16" t="s">
        <v>116</v>
      </c>
      <c r="E16">
        <v>0.625</v>
      </c>
      <c r="F16" t="s">
        <v>43</v>
      </c>
      <c r="G16">
        <v>0.95833333333333337</v>
      </c>
      <c r="I16" t="s">
        <v>42</v>
      </c>
      <c r="K16">
        <v>0.625</v>
      </c>
      <c r="L16" t="s">
        <v>43</v>
      </c>
      <c r="M16">
        <v>0.95833333333333337</v>
      </c>
      <c r="N16">
        <v>0.625</v>
      </c>
      <c r="O16" t="s">
        <v>43</v>
      </c>
      <c r="P16">
        <v>0.95833333333333337</v>
      </c>
      <c r="Q16">
        <v>0.625</v>
      </c>
      <c r="R16" t="s">
        <v>43</v>
      </c>
      <c r="S16">
        <v>0.95833333333333337</v>
      </c>
      <c r="T16">
        <v>0.625</v>
      </c>
      <c r="U16" t="s">
        <v>43</v>
      </c>
      <c r="V16">
        <v>0.95833333333333337</v>
      </c>
      <c r="X16" t="s">
        <v>42</v>
      </c>
      <c r="Z16">
        <v>40</v>
      </c>
    </row>
    <row r="17" spans="2:26" x14ac:dyDescent="0.2">
      <c r="B17">
        <v>12.000000000000002</v>
      </c>
      <c r="C17">
        <v>4</v>
      </c>
      <c r="D17" t="s">
        <v>118</v>
      </c>
      <c r="F17" t="s">
        <v>42</v>
      </c>
      <c r="I17" t="s">
        <v>42</v>
      </c>
      <c r="K17">
        <v>0.79166666666666663</v>
      </c>
      <c r="L17" t="s">
        <v>43</v>
      </c>
      <c r="M17">
        <v>0.29166666666666669</v>
      </c>
      <c r="N17">
        <v>0.79166666666666663</v>
      </c>
      <c r="O17" t="s">
        <v>43</v>
      </c>
      <c r="P17">
        <v>0.29166666666666669</v>
      </c>
      <c r="R17" t="s">
        <v>42</v>
      </c>
      <c r="T17">
        <v>0.79166666666666663</v>
      </c>
      <c r="U17" t="s">
        <v>43</v>
      </c>
      <c r="V17">
        <v>0.29166666666666669</v>
      </c>
      <c r="W17">
        <v>0.79166666666666663</v>
      </c>
      <c r="X17" t="s">
        <v>43</v>
      </c>
      <c r="Y17">
        <v>0.29166666666666669</v>
      </c>
      <c r="Z17">
        <v>48.000000000000007</v>
      </c>
    </row>
    <row r="18" spans="2:26" x14ac:dyDescent="0.2">
      <c r="B18">
        <v>12.000000000000002</v>
      </c>
      <c r="C18">
        <v>4</v>
      </c>
      <c r="D18" t="s">
        <v>118</v>
      </c>
      <c r="E18">
        <v>0.79166666666666663</v>
      </c>
      <c r="F18" t="s">
        <v>43</v>
      </c>
      <c r="G18">
        <v>0.29166666666666669</v>
      </c>
      <c r="H18">
        <v>0.79166666666666663</v>
      </c>
      <c r="I18" t="s">
        <v>43</v>
      </c>
      <c r="J18">
        <v>0.29166666666666669</v>
      </c>
      <c r="L18" t="s">
        <v>42</v>
      </c>
      <c r="N18">
        <v>0.79166666666666663</v>
      </c>
      <c r="O18" t="s">
        <v>43</v>
      </c>
      <c r="P18">
        <v>0.29166666666666669</v>
      </c>
      <c r="Q18">
        <v>0.79166666666666663</v>
      </c>
      <c r="R18" t="s">
        <v>43</v>
      </c>
      <c r="S18">
        <v>0.29166666666666669</v>
      </c>
      <c r="U18" t="s">
        <v>42</v>
      </c>
      <c r="X18" t="s">
        <v>42</v>
      </c>
      <c r="Z18">
        <v>48.000000000000007</v>
      </c>
    </row>
    <row r="19" spans="2:26" x14ac:dyDescent="0.2">
      <c r="B19">
        <v>12.000000000000002</v>
      </c>
      <c r="C19">
        <v>4</v>
      </c>
      <c r="D19" t="s">
        <v>118</v>
      </c>
      <c r="E19">
        <v>0.79166666666666663</v>
      </c>
      <c r="F19" t="s">
        <v>43</v>
      </c>
      <c r="G19">
        <v>0.29166666666666669</v>
      </c>
      <c r="H19">
        <v>0.79166666666666663</v>
      </c>
      <c r="I19" t="s">
        <v>43</v>
      </c>
      <c r="J19">
        <v>0.29166666666666669</v>
      </c>
      <c r="K19">
        <v>0.79166666666666663</v>
      </c>
      <c r="L19" t="s">
        <v>43</v>
      </c>
      <c r="M19">
        <v>0.29166666666666669</v>
      </c>
      <c r="O19" t="s">
        <v>42</v>
      </c>
      <c r="R19" t="s">
        <v>42</v>
      </c>
      <c r="U19" t="s">
        <v>42</v>
      </c>
      <c r="W19">
        <v>0.79166666666666663</v>
      </c>
      <c r="X19" t="s">
        <v>43</v>
      </c>
      <c r="Y19">
        <v>0.29166666666666669</v>
      </c>
      <c r="Z19">
        <v>48.000000000000007</v>
      </c>
    </row>
    <row r="20" spans="2:26" x14ac:dyDescent="0.2">
      <c r="B20">
        <v>12.000000000000002</v>
      </c>
      <c r="C20">
        <v>3</v>
      </c>
      <c r="D20" t="s">
        <v>117</v>
      </c>
      <c r="E20">
        <v>0.79166666666666663</v>
      </c>
      <c r="F20" t="s">
        <v>43</v>
      </c>
      <c r="G20">
        <v>0.29166666666666669</v>
      </c>
      <c r="I20" t="s">
        <v>42</v>
      </c>
      <c r="L20" t="s">
        <v>42</v>
      </c>
      <c r="O20" t="s">
        <v>42</v>
      </c>
      <c r="Q20">
        <v>0.79166666666666663</v>
      </c>
      <c r="R20" t="s">
        <v>43</v>
      </c>
      <c r="S20">
        <v>0.29166666666666669</v>
      </c>
      <c r="T20">
        <v>0.79166666666666663</v>
      </c>
      <c r="U20" t="s">
        <v>43</v>
      </c>
      <c r="V20">
        <v>0.29166666666666669</v>
      </c>
      <c r="X20" t="s">
        <v>42</v>
      </c>
      <c r="Z20">
        <v>36.000000000000007</v>
      </c>
    </row>
    <row r="21" spans="2:26" x14ac:dyDescent="0.2">
      <c r="B21">
        <v>12.000000000000002</v>
      </c>
      <c r="C21">
        <v>3</v>
      </c>
      <c r="D21" t="s">
        <v>117</v>
      </c>
      <c r="F21" t="s">
        <v>42</v>
      </c>
      <c r="H21">
        <v>0.79166666666666663</v>
      </c>
      <c r="I21" t="s">
        <v>43</v>
      </c>
      <c r="J21">
        <v>0.29166666666666669</v>
      </c>
      <c r="L21" t="s">
        <v>42</v>
      </c>
      <c r="O21" t="s">
        <v>42</v>
      </c>
      <c r="Q21">
        <v>0.79166666666666663</v>
      </c>
      <c r="R21" t="s">
        <v>43</v>
      </c>
      <c r="S21">
        <v>0.29166666666666669</v>
      </c>
      <c r="U21" t="s">
        <v>42</v>
      </c>
      <c r="W21">
        <v>0.79166666666666663</v>
      </c>
      <c r="X21" t="s">
        <v>43</v>
      </c>
      <c r="Y21">
        <v>0.29166666666666669</v>
      </c>
      <c r="Z21">
        <v>36.000000000000007</v>
      </c>
    </row>
    <row r="22" spans="2:26" x14ac:dyDescent="0.2">
      <c r="B22">
        <v>12.000000000000002</v>
      </c>
      <c r="C22">
        <v>3</v>
      </c>
      <c r="D22" t="s">
        <v>117</v>
      </c>
      <c r="F22" t="s">
        <v>42</v>
      </c>
      <c r="H22">
        <v>0.79166666666666663</v>
      </c>
      <c r="I22" t="s">
        <v>43</v>
      </c>
      <c r="J22">
        <v>0.29166666666666669</v>
      </c>
      <c r="K22">
        <v>0.79166666666666663</v>
      </c>
      <c r="L22" t="s">
        <v>43</v>
      </c>
      <c r="M22">
        <v>0.29166666666666669</v>
      </c>
      <c r="O22" t="s">
        <v>42</v>
      </c>
      <c r="R22" t="s">
        <v>42</v>
      </c>
      <c r="T22">
        <v>0.79166666666666663</v>
      </c>
      <c r="U22" t="s">
        <v>43</v>
      </c>
      <c r="V22">
        <v>0.29166666666666669</v>
      </c>
      <c r="X22" t="s">
        <v>42</v>
      </c>
      <c r="Z22">
        <v>36.000000000000007</v>
      </c>
    </row>
    <row r="23" spans="2:26" x14ac:dyDescent="0.2">
      <c r="B23">
        <v>10</v>
      </c>
      <c r="C23">
        <v>4</v>
      </c>
      <c r="D23" t="s">
        <v>119</v>
      </c>
      <c r="F23" t="s">
        <v>42</v>
      </c>
      <c r="I23" t="s">
        <v>42</v>
      </c>
      <c r="K23">
        <v>0.91666666666666663</v>
      </c>
      <c r="L23" t="s">
        <v>43</v>
      </c>
      <c r="M23">
        <v>0.33333333333333331</v>
      </c>
      <c r="N23">
        <v>0.91666666666666663</v>
      </c>
      <c r="O23" t="s">
        <v>43</v>
      </c>
      <c r="P23">
        <v>0.33333333333333331</v>
      </c>
      <c r="Q23">
        <v>0.91666666666666663</v>
      </c>
      <c r="R23" t="s">
        <v>43</v>
      </c>
      <c r="S23">
        <v>0.33333333333333331</v>
      </c>
      <c r="U23" t="s">
        <v>42</v>
      </c>
      <c r="W23">
        <v>0.91666666666666663</v>
      </c>
      <c r="X23" t="s">
        <v>43</v>
      </c>
      <c r="Y23">
        <v>0.33333333333333331</v>
      </c>
      <c r="Z23">
        <v>40</v>
      </c>
    </row>
    <row r="24" spans="2:26" x14ac:dyDescent="0.2">
      <c r="B24">
        <v>10</v>
      </c>
      <c r="C24">
        <v>4</v>
      </c>
      <c r="D24" t="s">
        <v>119</v>
      </c>
      <c r="E24">
        <v>0.95833333333333337</v>
      </c>
      <c r="F24" t="s">
        <v>43</v>
      </c>
      <c r="G24">
        <v>0.375</v>
      </c>
      <c r="H24">
        <v>0.95833333333333337</v>
      </c>
      <c r="I24" t="s">
        <v>43</v>
      </c>
      <c r="J24">
        <v>0.375</v>
      </c>
      <c r="L24" t="s">
        <v>42</v>
      </c>
      <c r="N24">
        <v>0.95833333333333337</v>
      </c>
      <c r="O24" t="s">
        <v>43</v>
      </c>
      <c r="P24">
        <v>0.375</v>
      </c>
      <c r="R24" t="s">
        <v>42</v>
      </c>
      <c r="T24">
        <v>0.95833333333333337</v>
      </c>
      <c r="U24" t="s">
        <v>43</v>
      </c>
      <c r="V24">
        <v>0.375</v>
      </c>
      <c r="X24" t="s">
        <v>42</v>
      </c>
      <c r="Z24">
        <v>40</v>
      </c>
    </row>
  </sheetData>
  <phoneticPr fontId="1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31</vt:i4>
      </vt:variant>
    </vt:vector>
  </HeadingPairs>
  <TitlesOfParts>
    <vt:vector size="38" baseType="lpstr">
      <vt:lpstr>README</vt:lpstr>
      <vt:lpstr>Tour</vt:lpstr>
      <vt:lpstr>Coverage</vt:lpstr>
      <vt:lpstr>Coverage_Hourly</vt:lpstr>
      <vt:lpstr>Summaries</vt:lpstr>
      <vt:lpstr>Utility</vt:lpstr>
      <vt:lpstr>Sheet1</vt:lpstr>
      <vt:lpstr>CoverageWeekLabel</vt:lpstr>
      <vt:lpstr>Coverage!CovRpt_Week1</vt:lpstr>
      <vt:lpstr>Coverage_Hourly!CovRpt_Week1</vt:lpstr>
      <vt:lpstr>Utility!CovRpt_Week1</vt:lpstr>
      <vt:lpstr>CovRpt_Week1</vt:lpstr>
      <vt:lpstr>CovRpt_Week2</vt:lpstr>
      <vt:lpstr>Coverage!Demand_Week1</vt:lpstr>
      <vt:lpstr>Demand_Week1</vt:lpstr>
      <vt:lpstr>Utility!lstHalfHours</vt:lpstr>
      <vt:lpstr>lstHalfHours</vt:lpstr>
      <vt:lpstr>Utility!Nurse_Labels</vt:lpstr>
      <vt:lpstr>Nurse_Labels</vt:lpstr>
      <vt:lpstr>Coverage!Print_Area</vt:lpstr>
      <vt:lpstr>Coverage_Hourly!Print_Area</vt:lpstr>
      <vt:lpstr>Tour!Print_Area</vt:lpstr>
      <vt:lpstr>Tour!Print_Titles</vt:lpstr>
      <vt:lpstr>Utility!SelectedHalfHour</vt:lpstr>
      <vt:lpstr>SelectedHalfHour</vt:lpstr>
      <vt:lpstr>Tour_TT</vt:lpstr>
      <vt:lpstr>Utility!Tour_Type_Labels</vt:lpstr>
      <vt:lpstr>Tour_Type_Labels</vt:lpstr>
      <vt:lpstr>Tour_Type_SchedHours</vt:lpstr>
      <vt:lpstr>Tour_Week1</vt:lpstr>
      <vt:lpstr>Tour_Week2</vt:lpstr>
      <vt:lpstr>TourBottom_Week1</vt:lpstr>
      <vt:lpstr>TourBottom_Week2</vt:lpstr>
      <vt:lpstr>TourStyle</vt:lpstr>
      <vt:lpstr>TourTop_TT</vt:lpstr>
      <vt:lpstr>TourTop_Week1</vt:lpstr>
      <vt:lpstr>TourTop_Week2</vt:lpstr>
      <vt:lpstr>WeekendMidnightThreshold</vt:lpstr>
    </vt:vector>
  </TitlesOfParts>
  <Company>misken research,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W. Isken</dc:creator>
  <cp:lastModifiedBy>isken</cp:lastModifiedBy>
  <cp:lastPrinted>1999-11-02T01:05:23Z</cp:lastPrinted>
  <dcterms:created xsi:type="dcterms:W3CDTF">1997-08-04T08:55:13Z</dcterms:created>
  <dcterms:modified xsi:type="dcterms:W3CDTF">2011-06-20T20:38:16Z</dcterms:modified>
</cp:coreProperties>
</file>