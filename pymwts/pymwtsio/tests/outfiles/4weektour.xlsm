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105" windowWidth="20955" windowHeight="9975"/>
  </bookViews>
  <sheets>
    <sheet name="MainTour" sheetId="3" r:id="rId1"/>
    <sheet name="DAT" sheetId="4" r:id="rId2"/>
    <sheet name="Sheet1" sheetId="1" r:id="rId3"/>
    <sheet name="Sheet2" sheetId="2" r:id="rId4"/>
  </sheets>
  <functionGroups builtInGroupCount="17"/>
  <calcPr calcId="145621"/>
</workbook>
</file>

<file path=xl/calcChain.xml><?xml version="1.0" encoding="utf-8"?>
<calcChain xmlns="http://schemas.openxmlformats.org/spreadsheetml/2006/main">
  <c r="BW3" i="3" l="1" a="1"/>
  <c r="BW3" i="3" s="1"/>
  <c r="BX3" i="3" a="1"/>
  <c r="BX3" i="3" s="1"/>
  <c r="BY3" i="3" a="1"/>
  <c r="BY3" i="3" s="1"/>
  <c r="BZ3" i="3" a="1"/>
  <c r="BZ3" i="3" s="1"/>
  <c r="BW4" i="3" a="1"/>
  <c r="BW4" i="3" s="1"/>
  <c r="BX4" i="3" a="1"/>
  <c r="BX4" i="3" s="1"/>
  <c r="BY4" i="3" a="1"/>
  <c r="BY4" i="3" s="1"/>
  <c r="BZ4" i="3" a="1"/>
  <c r="BZ4" i="3" s="1"/>
  <c r="BW5" i="3" a="1"/>
  <c r="BW5" i="3" s="1"/>
  <c r="BX5" i="3" a="1"/>
  <c r="BX5" i="3" s="1"/>
  <c r="BY5" i="3" a="1"/>
  <c r="BY5" i="3" s="1"/>
  <c r="BZ5" i="3" a="1"/>
  <c r="BZ5" i="3" s="1"/>
  <c r="BW6" i="3" a="1"/>
  <c r="BW6" i="3" s="1"/>
  <c r="BX6" i="3" a="1"/>
  <c r="BX6" i="3" s="1"/>
  <c r="BY6" i="3" a="1"/>
  <c r="BY6" i="3" s="1"/>
  <c r="BZ6" i="3" a="1"/>
  <c r="BZ6" i="3" s="1"/>
  <c r="BW7" i="3" a="1"/>
  <c r="BW7" i="3" s="1"/>
  <c r="BX7" i="3" a="1"/>
  <c r="BX7" i="3" s="1"/>
  <c r="BY7" i="3" a="1"/>
  <c r="BY7" i="3" s="1"/>
  <c r="BZ7" i="3" a="1"/>
  <c r="BZ7" i="3" s="1"/>
  <c r="BW8" i="3" a="1"/>
  <c r="BW8" i="3" s="1"/>
  <c r="BX8" i="3" a="1"/>
  <c r="BX8" i="3" s="1"/>
  <c r="BY8" i="3" a="1"/>
  <c r="BY8" i="3" s="1"/>
  <c r="BZ8" i="3" a="1"/>
  <c r="BZ8" i="3" s="1"/>
  <c r="BW9" i="3" a="1"/>
  <c r="BW9" i="3" s="1"/>
  <c r="BX9" i="3" a="1"/>
  <c r="BX9" i="3" s="1"/>
  <c r="BY9" i="3" a="1"/>
  <c r="BY9" i="3" s="1"/>
  <c r="BZ9" i="3" a="1"/>
  <c r="BZ9" i="3" s="1"/>
  <c r="BW10" i="3" a="1"/>
  <c r="BW10" i="3" s="1"/>
  <c r="BX10" i="3" a="1"/>
  <c r="BX10" i="3" s="1"/>
  <c r="BY10" i="3" a="1"/>
  <c r="BY10" i="3" s="1"/>
  <c r="BZ10" i="3" a="1"/>
  <c r="BZ10" i="3" s="1"/>
  <c r="BW11" i="3" a="1"/>
  <c r="BW11" i="3" s="1"/>
  <c r="BX11" i="3" a="1"/>
  <c r="BX11" i="3" s="1"/>
  <c r="BY11" i="3" a="1"/>
  <c r="BY11" i="3" s="1"/>
  <c r="BZ11" i="3" a="1"/>
  <c r="BZ11" i="3" s="1"/>
  <c r="BW12" i="3" a="1"/>
  <c r="BW12" i="3" s="1"/>
  <c r="BX12" i="3" a="1"/>
  <c r="BX12" i="3" s="1"/>
  <c r="BY12" i="3" a="1"/>
  <c r="BY12" i="3" s="1"/>
  <c r="BZ12" i="3" a="1"/>
  <c r="BZ12" i="3" s="1"/>
  <c r="BW13" i="3" a="1"/>
  <c r="BW13" i="3" s="1"/>
  <c r="BX13" i="3" a="1"/>
  <c r="BX13" i="3" s="1"/>
  <c r="BY13" i="3" a="1"/>
  <c r="BY13" i="3" s="1"/>
  <c r="BZ13" i="3" a="1"/>
  <c r="BZ13" i="3" s="1"/>
  <c r="BW14" i="3" a="1"/>
  <c r="BW14" i="3" s="1"/>
  <c r="BX14" i="3" a="1"/>
  <c r="BX14" i="3" s="1"/>
  <c r="BY14" i="3" a="1"/>
  <c r="BY14" i="3" s="1"/>
  <c r="BZ14" i="3" a="1"/>
  <c r="BZ14" i="3" s="1"/>
  <c r="BW15" i="3" a="1"/>
  <c r="BW15" i="3" s="1"/>
  <c r="BX15" i="3" a="1"/>
  <c r="BX15" i="3" s="1"/>
  <c r="BY15" i="3" a="1"/>
  <c r="BY15" i="3" s="1"/>
  <c r="BZ15" i="3" a="1"/>
  <c r="BZ15" i="3" s="1"/>
  <c r="BW16" i="3" a="1"/>
  <c r="BW16" i="3" s="1"/>
  <c r="BX16" i="3" a="1"/>
  <c r="BX16" i="3" s="1"/>
  <c r="BY16" i="3" a="1"/>
  <c r="BY16" i="3" s="1"/>
  <c r="BZ16" i="3" a="1"/>
  <c r="BZ16" i="3" s="1"/>
  <c r="BW17" i="3" a="1"/>
  <c r="BW17" i="3" s="1"/>
  <c r="BX17" i="3" a="1"/>
  <c r="BX17" i="3" s="1"/>
  <c r="BY17" i="3" a="1"/>
  <c r="BY17" i="3" s="1"/>
  <c r="BZ17" i="3" a="1"/>
  <c r="BZ17" i="3" s="1"/>
  <c r="BW18" i="3" a="1"/>
  <c r="BW18" i="3" s="1"/>
  <c r="BX18" i="3" a="1"/>
  <c r="BX18" i="3" s="1"/>
  <c r="BY18" i="3" a="1"/>
  <c r="BY18" i="3" s="1"/>
  <c r="BZ18" i="3" a="1"/>
  <c r="BZ18" i="3" s="1"/>
  <c r="BW19" i="3" a="1"/>
  <c r="BW19" i="3" s="1"/>
  <c r="BX19" i="3" a="1"/>
  <c r="BX19" i="3" s="1"/>
  <c r="BY19" i="3" a="1"/>
  <c r="BY19" i="3" s="1"/>
  <c r="BZ19" i="3" a="1"/>
  <c r="BZ19" i="3" s="1"/>
  <c r="BW20" i="3" a="1"/>
  <c r="BW20" i="3" s="1"/>
  <c r="BX20" i="3" a="1"/>
  <c r="BX20" i="3" s="1"/>
  <c r="BY20" i="3" a="1"/>
  <c r="BY20" i="3" s="1"/>
  <c r="BZ20" i="3" a="1"/>
  <c r="BZ20" i="3" s="1"/>
  <c r="BW21" i="3" a="1"/>
  <c r="BW21" i="3" s="1"/>
  <c r="BX21" i="3" a="1"/>
  <c r="BX21" i="3" s="1"/>
  <c r="BY21" i="3" a="1"/>
  <c r="BY21" i="3" s="1"/>
  <c r="BZ21" i="3" a="1"/>
  <c r="BZ21" i="3" s="1"/>
  <c r="BW22" i="3" a="1"/>
  <c r="BW22" i="3" s="1"/>
  <c r="BX22" i="3" a="1"/>
  <c r="BX22" i="3" s="1"/>
  <c r="BY22" i="3" a="1"/>
  <c r="BY22" i="3" s="1"/>
  <c r="BZ22" i="3" a="1"/>
  <c r="BZ22" i="3" s="1"/>
  <c r="BW23" i="3" a="1"/>
  <c r="BW23" i="3" s="1"/>
  <c r="BX23" i="3" a="1"/>
  <c r="BX23" i="3" s="1"/>
  <c r="BY23" i="3" a="1"/>
  <c r="BY23" i="3" s="1"/>
  <c r="BZ23" i="3" a="1"/>
  <c r="BZ23" i="3" s="1"/>
  <c r="BW24" i="3" a="1"/>
  <c r="BW24" i="3" s="1"/>
  <c r="BX24" i="3" a="1"/>
  <c r="BX24" i="3" s="1"/>
  <c r="BY24" i="3" a="1"/>
  <c r="BY24" i="3" s="1"/>
  <c r="BZ24" i="3" a="1"/>
  <c r="BZ24" i="3" s="1"/>
  <c r="BW25" i="3" a="1"/>
  <c r="BW25" i="3" s="1"/>
  <c r="BX25" i="3" a="1"/>
  <c r="BX25" i="3" s="1"/>
  <c r="BY25" i="3" a="1"/>
  <c r="BY25" i="3" s="1"/>
  <c r="BZ25" i="3" a="1"/>
  <c r="BZ25" i="3" s="1"/>
  <c r="BW26" i="3" a="1"/>
  <c r="BW26" i="3" s="1"/>
  <c r="BX26" i="3" a="1"/>
  <c r="BX26" i="3" s="1"/>
  <c r="BY26" i="3" a="1"/>
  <c r="BY26" i="3" s="1"/>
  <c r="BZ26" i="3" a="1"/>
  <c r="BZ26" i="3" s="1"/>
  <c r="BW27" i="3" a="1"/>
  <c r="BW27" i="3" s="1"/>
  <c r="BX27" i="3" a="1"/>
  <c r="BX27" i="3" s="1"/>
  <c r="BY27" i="3" a="1"/>
  <c r="BY27" i="3" s="1"/>
  <c r="BZ27" i="3" a="1"/>
  <c r="BZ27" i="3" s="1"/>
  <c r="BW28" i="3" a="1"/>
  <c r="BW28" i="3" s="1"/>
  <c r="BX28" i="3" a="1"/>
  <c r="BX28" i="3" s="1"/>
  <c r="BY28" i="3" a="1"/>
  <c r="BY28" i="3" s="1"/>
  <c r="BZ28" i="3" a="1"/>
  <c r="BZ28" i="3" s="1"/>
  <c r="BW29" i="3" a="1"/>
  <c r="BW29" i="3" s="1"/>
  <c r="BX29" i="3" a="1"/>
  <c r="BX29" i="3" s="1"/>
  <c r="BY29" i="3" a="1"/>
  <c r="BY29" i="3" s="1"/>
  <c r="BZ29" i="3" a="1"/>
  <c r="BZ29" i="3" s="1"/>
  <c r="BW30" i="3" a="1"/>
  <c r="BW30" i="3" s="1"/>
  <c r="BX30" i="3" a="1"/>
  <c r="BX30" i="3" s="1"/>
  <c r="BY30" i="3" a="1"/>
  <c r="BY30" i="3" s="1"/>
  <c r="BZ30" i="3" a="1"/>
  <c r="BZ30" i="3" s="1"/>
  <c r="BW31" i="3" a="1"/>
  <c r="BW31" i="3" s="1"/>
  <c r="BX31" i="3" a="1"/>
  <c r="BX31" i="3" s="1"/>
  <c r="BY31" i="3" a="1"/>
  <c r="BY31" i="3" s="1"/>
  <c r="BZ31" i="3" a="1"/>
  <c r="BZ31" i="3" s="1"/>
  <c r="BW32" i="3" a="1"/>
  <c r="BW32" i="3" s="1"/>
  <c r="BX32" i="3" a="1"/>
  <c r="BX32" i="3" s="1"/>
  <c r="BY32" i="3" a="1"/>
  <c r="BY32" i="3" s="1"/>
  <c r="BZ32" i="3" a="1"/>
  <c r="BZ32" i="3" s="1"/>
  <c r="BW33" i="3" a="1"/>
  <c r="BW33" i="3" s="1"/>
  <c r="BX33" i="3" a="1"/>
  <c r="BX33" i="3" s="1"/>
  <c r="BY33" i="3" a="1"/>
  <c r="BY33" i="3" s="1"/>
  <c r="BZ33" i="3" a="1"/>
  <c r="BZ33" i="3" s="1"/>
  <c r="BW34" i="3" a="1"/>
  <c r="BW34" i="3" s="1"/>
  <c r="BX34" i="3" a="1"/>
  <c r="BX34" i="3" s="1"/>
  <c r="BY34" i="3" a="1"/>
  <c r="BY34" i="3" s="1"/>
  <c r="BZ34" i="3" a="1"/>
  <c r="BZ34" i="3" s="1"/>
  <c r="BW35" i="3" a="1"/>
  <c r="BW35" i="3" s="1"/>
  <c r="BX35" i="3" a="1"/>
  <c r="BX35" i="3" s="1"/>
  <c r="BY35" i="3" a="1"/>
  <c r="BY35" i="3" s="1"/>
  <c r="BZ35" i="3" a="1"/>
  <c r="BZ35" i="3" s="1"/>
  <c r="BW36" i="3" a="1"/>
  <c r="BW36" i="3" s="1"/>
  <c r="BX36" i="3" a="1"/>
  <c r="BX36" i="3" s="1"/>
  <c r="BY36" i="3" a="1"/>
  <c r="BY36" i="3" s="1"/>
  <c r="BZ36" i="3" a="1"/>
  <c r="BZ36" i="3" s="1"/>
  <c r="BW37" i="3" a="1"/>
  <c r="BW37" i="3" s="1"/>
  <c r="BX37" i="3" a="1"/>
  <c r="BX37" i="3" s="1"/>
  <c r="BY37" i="3" a="1"/>
  <c r="BY37" i="3" s="1"/>
  <c r="BZ37" i="3" a="1"/>
  <c r="BZ37" i="3" s="1"/>
  <c r="BW38" i="3" a="1"/>
  <c r="BW38" i="3" s="1"/>
  <c r="BX38" i="3" a="1"/>
  <c r="BX38" i="3" s="1"/>
  <c r="BY38" i="3" a="1"/>
  <c r="BY38" i="3" s="1"/>
  <c r="BZ38" i="3" a="1"/>
  <c r="BZ38" i="3" s="1"/>
  <c r="BW39" i="3" a="1"/>
  <c r="BW39" i="3" s="1"/>
  <c r="BX39" i="3" a="1"/>
  <c r="BX39" i="3" s="1"/>
  <c r="BY39" i="3" a="1"/>
  <c r="BY39" i="3" s="1"/>
  <c r="BZ39" i="3" a="1"/>
  <c r="BZ39" i="3" s="1"/>
  <c r="BW40" i="3" a="1"/>
  <c r="BW40" i="3" s="1"/>
  <c r="BX40" i="3" a="1"/>
  <c r="BX40" i="3" s="1"/>
  <c r="BY40" i="3" a="1"/>
  <c r="BY40" i="3" s="1"/>
  <c r="BZ40" i="3" a="1"/>
  <c r="BZ40" i="3" s="1"/>
  <c r="BW41" i="3" a="1"/>
  <c r="BW41" i="3" s="1"/>
  <c r="BX41" i="3" a="1"/>
  <c r="BX41" i="3" s="1"/>
  <c r="BY41" i="3" a="1"/>
  <c r="BY41" i="3" s="1"/>
  <c r="BZ41" i="3" a="1"/>
  <c r="BZ41" i="3" s="1"/>
  <c r="BW42" i="3" a="1"/>
  <c r="BW42" i="3" s="1"/>
  <c r="BX42" i="3" a="1"/>
  <c r="BX42" i="3" s="1"/>
  <c r="BY42" i="3" a="1"/>
  <c r="BY42" i="3" s="1"/>
  <c r="BZ42" i="3" a="1"/>
  <c r="BZ42" i="3" s="1"/>
  <c r="BW43" i="3" a="1"/>
  <c r="BW43" i="3" s="1"/>
  <c r="BX43" i="3" a="1"/>
  <c r="BX43" i="3" s="1"/>
  <c r="BY43" i="3" a="1"/>
  <c r="BY43" i="3" s="1"/>
  <c r="BZ43" i="3" a="1"/>
  <c r="BZ43" i="3" s="1"/>
  <c r="BX2" i="3" a="1"/>
  <c r="BX2" i="3" s="1"/>
  <c r="BY2" i="3" a="1"/>
  <c r="BY2" i="3" s="1"/>
  <c r="BZ2" i="3" a="1"/>
  <c r="BZ2" i="3" s="1"/>
  <c r="BW2" i="3" a="1"/>
  <c r="BW2" i="3" s="1"/>
  <c r="BR3" i="3" a="1"/>
  <c r="BR3" i="3" s="1"/>
  <c r="BS3" i="3" a="1"/>
  <c r="BS3" i="3" s="1"/>
  <c r="BT3" i="3" a="1"/>
  <c r="BT3" i="3" s="1"/>
  <c r="BU3" i="3" a="1"/>
  <c r="BU3" i="3" s="1"/>
  <c r="BR4" i="3" a="1"/>
  <c r="BR4" i="3" s="1"/>
  <c r="BS4" i="3" a="1"/>
  <c r="BS4" i="3" s="1"/>
  <c r="BT4" i="3" a="1"/>
  <c r="BT4" i="3" s="1"/>
  <c r="BU4" i="3" a="1"/>
  <c r="BU4" i="3" s="1"/>
  <c r="BR5" i="3" a="1"/>
  <c r="BR5" i="3" s="1"/>
  <c r="BS5" i="3" a="1"/>
  <c r="BS5" i="3" s="1"/>
  <c r="BT5" i="3" a="1"/>
  <c r="BT5" i="3" s="1"/>
  <c r="BU5" i="3" a="1"/>
  <c r="BU5" i="3" s="1"/>
  <c r="BR6" i="3" a="1"/>
  <c r="BR6" i="3" s="1"/>
  <c r="BS6" i="3" a="1"/>
  <c r="BS6" i="3" s="1"/>
  <c r="BT6" i="3" a="1"/>
  <c r="BT6" i="3" s="1"/>
  <c r="BU6" i="3" a="1"/>
  <c r="BU6" i="3" s="1"/>
  <c r="BR7" i="3" a="1"/>
  <c r="BR7" i="3" s="1"/>
  <c r="BS7" i="3" a="1"/>
  <c r="BS7" i="3" s="1"/>
  <c r="BT7" i="3" a="1"/>
  <c r="BT7" i="3" s="1"/>
  <c r="BU7" i="3" a="1"/>
  <c r="BU7" i="3" s="1"/>
  <c r="BR8" i="3" a="1"/>
  <c r="BR8" i="3" s="1"/>
  <c r="BS8" i="3" a="1"/>
  <c r="BS8" i="3" s="1"/>
  <c r="BT8" i="3" a="1"/>
  <c r="BT8" i="3" s="1"/>
  <c r="BU8" i="3" a="1"/>
  <c r="BU8" i="3" s="1"/>
  <c r="BR9" i="3" a="1"/>
  <c r="BR9" i="3" s="1"/>
  <c r="BS9" i="3" a="1"/>
  <c r="BS9" i="3" s="1"/>
  <c r="BT9" i="3" a="1"/>
  <c r="BT9" i="3" s="1"/>
  <c r="BU9" i="3" a="1"/>
  <c r="BU9" i="3" s="1"/>
  <c r="BR10" i="3" a="1"/>
  <c r="BR10" i="3" s="1"/>
  <c r="BS10" i="3" a="1"/>
  <c r="BS10" i="3" s="1"/>
  <c r="BT10" i="3" a="1"/>
  <c r="BT10" i="3" s="1"/>
  <c r="BU10" i="3" a="1"/>
  <c r="BU10" i="3" s="1"/>
  <c r="BR11" i="3" a="1"/>
  <c r="BR11" i="3" s="1"/>
  <c r="BS11" i="3" a="1"/>
  <c r="BS11" i="3" s="1"/>
  <c r="BT11" i="3" a="1"/>
  <c r="BT11" i="3" s="1"/>
  <c r="BU11" i="3" a="1"/>
  <c r="BU11" i="3" s="1"/>
  <c r="BR12" i="3" a="1"/>
  <c r="BR12" i="3" s="1"/>
  <c r="BS12" i="3" a="1"/>
  <c r="BS12" i="3" s="1"/>
  <c r="BT12" i="3" a="1"/>
  <c r="BT12" i="3" s="1"/>
  <c r="BU12" i="3" a="1"/>
  <c r="BU12" i="3" s="1"/>
  <c r="BR13" i="3" a="1"/>
  <c r="BR13" i="3" s="1"/>
  <c r="BS13" i="3" a="1"/>
  <c r="BS13" i="3" s="1"/>
  <c r="BT13" i="3" a="1"/>
  <c r="BT13" i="3" s="1"/>
  <c r="BU13" i="3" a="1"/>
  <c r="BU13" i="3" s="1"/>
  <c r="BR14" i="3" a="1"/>
  <c r="BR14" i="3" s="1"/>
  <c r="BS14" i="3" a="1"/>
  <c r="BS14" i="3" s="1"/>
  <c r="BT14" i="3" a="1"/>
  <c r="BT14" i="3" s="1"/>
  <c r="BU14" i="3" a="1"/>
  <c r="BU14" i="3" s="1"/>
  <c r="BR15" i="3" a="1"/>
  <c r="BR15" i="3" s="1"/>
  <c r="BS15" i="3" a="1"/>
  <c r="BS15" i="3" s="1"/>
  <c r="BT15" i="3" a="1"/>
  <c r="BT15" i="3" s="1"/>
  <c r="BU15" i="3" a="1"/>
  <c r="BU15" i="3" s="1"/>
  <c r="BR16" i="3" a="1"/>
  <c r="BR16" i="3" s="1"/>
  <c r="BS16" i="3" a="1"/>
  <c r="BS16" i="3" s="1"/>
  <c r="BT16" i="3" a="1"/>
  <c r="BT16" i="3" s="1"/>
  <c r="BU16" i="3" a="1"/>
  <c r="BU16" i="3" s="1"/>
  <c r="BR17" i="3" a="1"/>
  <c r="BR17" i="3" s="1"/>
  <c r="BS17" i="3" a="1"/>
  <c r="BS17" i="3" s="1"/>
  <c r="BT17" i="3" a="1"/>
  <c r="BT17" i="3" s="1"/>
  <c r="BU17" i="3" a="1"/>
  <c r="BU17" i="3" s="1"/>
  <c r="BR18" i="3" a="1"/>
  <c r="BR18" i="3" s="1"/>
  <c r="BS18" i="3" a="1"/>
  <c r="BS18" i="3" s="1"/>
  <c r="BT18" i="3" a="1"/>
  <c r="BT18" i="3" s="1"/>
  <c r="BU18" i="3" a="1"/>
  <c r="BU18" i="3" s="1"/>
  <c r="BR19" i="3" a="1"/>
  <c r="BR19" i="3" s="1"/>
  <c r="BS19" i="3" a="1"/>
  <c r="BS19" i="3" s="1"/>
  <c r="BT19" i="3" a="1"/>
  <c r="BT19" i="3" s="1"/>
  <c r="BU19" i="3" a="1"/>
  <c r="BU19" i="3" s="1"/>
  <c r="BR20" i="3" a="1"/>
  <c r="BR20" i="3" s="1"/>
  <c r="BS20" i="3" a="1"/>
  <c r="BS20" i="3" s="1"/>
  <c r="BT20" i="3" a="1"/>
  <c r="BT20" i="3" s="1"/>
  <c r="BU20" i="3" a="1"/>
  <c r="BU20" i="3" s="1"/>
  <c r="BR21" i="3" a="1"/>
  <c r="BR21" i="3" s="1"/>
  <c r="BS21" i="3" a="1"/>
  <c r="BS21" i="3" s="1"/>
  <c r="BT21" i="3" a="1"/>
  <c r="BT21" i="3" s="1"/>
  <c r="BU21" i="3" a="1"/>
  <c r="BU21" i="3" s="1"/>
  <c r="BR22" i="3" a="1"/>
  <c r="BR22" i="3" s="1"/>
  <c r="BS22" i="3" a="1"/>
  <c r="BS22" i="3" s="1"/>
  <c r="BT22" i="3" a="1"/>
  <c r="BT22" i="3" s="1"/>
  <c r="BU22" i="3" a="1"/>
  <c r="BU22" i="3" s="1"/>
  <c r="BR23" i="3" a="1"/>
  <c r="BR23" i="3" s="1"/>
  <c r="BS23" i="3" a="1"/>
  <c r="BS23" i="3" s="1"/>
  <c r="BT23" i="3" a="1"/>
  <c r="BT23" i="3" s="1"/>
  <c r="BU23" i="3" a="1"/>
  <c r="BU23" i="3" s="1"/>
  <c r="BR24" i="3" a="1"/>
  <c r="BR24" i="3" s="1"/>
  <c r="BS24" i="3" a="1"/>
  <c r="BS24" i="3" s="1"/>
  <c r="BT24" i="3" a="1"/>
  <c r="BT24" i="3" s="1"/>
  <c r="BU24" i="3" a="1"/>
  <c r="BU24" i="3" s="1"/>
  <c r="BR25" i="3" a="1"/>
  <c r="BR25" i="3" s="1"/>
  <c r="BS25" i="3" a="1"/>
  <c r="BS25" i="3" s="1"/>
  <c r="BT25" i="3" a="1"/>
  <c r="BT25" i="3" s="1"/>
  <c r="BU25" i="3" a="1"/>
  <c r="BU25" i="3" s="1"/>
  <c r="BR26" i="3" a="1"/>
  <c r="BR26" i="3" s="1"/>
  <c r="BS26" i="3" a="1"/>
  <c r="BS26" i="3" s="1"/>
  <c r="BT26" i="3" a="1"/>
  <c r="BT26" i="3" s="1"/>
  <c r="BU26" i="3" a="1"/>
  <c r="BU26" i="3" s="1"/>
  <c r="BR27" i="3" a="1"/>
  <c r="BR27" i="3" s="1"/>
  <c r="BS27" i="3" a="1"/>
  <c r="BS27" i="3" s="1"/>
  <c r="BT27" i="3" a="1"/>
  <c r="BT27" i="3" s="1"/>
  <c r="BU27" i="3" a="1"/>
  <c r="BU27" i="3" s="1"/>
  <c r="BR28" i="3" a="1"/>
  <c r="BR28" i="3" s="1"/>
  <c r="BS28" i="3" a="1"/>
  <c r="BS28" i="3" s="1"/>
  <c r="BT28" i="3" a="1"/>
  <c r="BT28" i="3" s="1"/>
  <c r="BU28" i="3" a="1"/>
  <c r="BU28" i="3" s="1"/>
  <c r="BR29" i="3" a="1"/>
  <c r="BR29" i="3" s="1"/>
  <c r="BS29" i="3" a="1"/>
  <c r="BS29" i="3" s="1"/>
  <c r="BT29" i="3" a="1"/>
  <c r="BT29" i="3" s="1"/>
  <c r="BU29" i="3" a="1"/>
  <c r="BU29" i="3" s="1"/>
  <c r="BR30" i="3" a="1"/>
  <c r="BR30" i="3" s="1"/>
  <c r="BS30" i="3" a="1"/>
  <c r="BS30" i="3" s="1"/>
  <c r="BT30" i="3" a="1"/>
  <c r="BT30" i="3" s="1"/>
  <c r="BU30" i="3" a="1"/>
  <c r="BU30" i="3" s="1"/>
  <c r="BR31" i="3" a="1"/>
  <c r="BR31" i="3" s="1"/>
  <c r="BS31" i="3" a="1"/>
  <c r="BS31" i="3" s="1"/>
  <c r="BT31" i="3" a="1"/>
  <c r="BT31" i="3" s="1"/>
  <c r="BU31" i="3" a="1"/>
  <c r="BU31" i="3" s="1"/>
  <c r="BR32" i="3" a="1"/>
  <c r="BR32" i="3" s="1"/>
  <c r="BS32" i="3" a="1"/>
  <c r="BS32" i="3" s="1"/>
  <c r="BT32" i="3" a="1"/>
  <c r="BT32" i="3" s="1"/>
  <c r="BU32" i="3" a="1"/>
  <c r="BU32" i="3" s="1"/>
  <c r="BR33" i="3" a="1"/>
  <c r="BR33" i="3" s="1"/>
  <c r="BS33" i="3" a="1"/>
  <c r="BS33" i="3" s="1"/>
  <c r="BT33" i="3" a="1"/>
  <c r="BT33" i="3" s="1"/>
  <c r="BU33" i="3" a="1"/>
  <c r="BU33" i="3" s="1"/>
  <c r="BR34" i="3" a="1"/>
  <c r="BR34" i="3" s="1"/>
  <c r="BS34" i="3" a="1"/>
  <c r="BS34" i="3" s="1"/>
  <c r="BT34" i="3" a="1"/>
  <c r="BT34" i="3" s="1"/>
  <c r="BU34" i="3" a="1"/>
  <c r="BU34" i="3" s="1"/>
  <c r="BR35" i="3" a="1"/>
  <c r="BR35" i="3" s="1"/>
  <c r="BS35" i="3" a="1"/>
  <c r="BS35" i="3" s="1"/>
  <c r="BT35" i="3" a="1"/>
  <c r="BT35" i="3" s="1"/>
  <c r="BU35" i="3" a="1"/>
  <c r="BU35" i="3" s="1"/>
  <c r="BR36" i="3" a="1"/>
  <c r="BR36" i="3" s="1"/>
  <c r="BS36" i="3" a="1"/>
  <c r="BS36" i="3" s="1"/>
  <c r="BT36" i="3" a="1"/>
  <c r="BT36" i="3" s="1"/>
  <c r="BU36" i="3" a="1"/>
  <c r="BU36" i="3" s="1"/>
  <c r="BR37" i="3" a="1"/>
  <c r="BR37" i="3" s="1"/>
  <c r="BS37" i="3" a="1"/>
  <c r="BS37" i="3" s="1"/>
  <c r="BT37" i="3" a="1"/>
  <c r="BT37" i="3" s="1"/>
  <c r="BU37" i="3" a="1"/>
  <c r="BU37" i="3" s="1"/>
  <c r="BR38" i="3" a="1"/>
  <c r="BR38" i="3" s="1"/>
  <c r="BS38" i="3" a="1"/>
  <c r="BS38" i="3" s="1"/>
  <c r="BT38" i="3" a="1"/>
  <c r="BT38" i="3" s="1"/>
  <c r="BU38" i="3" a="1"/>
  <c r="BU38" i="3" s="1"/>
  <c r="BR39" i="3" a="1"/>
  <c r="BR39" i="3" s="1"/>
  <c r="BS39" i="3" a="1"/>
  <c r="BS39" i="3" s="1"/>
  <c r="BT39" i="3" a="1"/>
  <c r="BT39" i="3" s="1"/>
  <c r="BU39" i="3" a="1"/>
  <c r="BU39" i="3" s="1"/>
  <c r="BR40" i="3" a="1"/>
  <c r="BR40" i="3" s="1"/>
  <c r="BS40" i="3" a="1"/>
  <c r="BS40" i="3" s="1"/>
  <c r="BT40" i="3" a="1"/>
  <c r="BT40" i="3" s="1"/>
  <c r="BU40" i="3" a="1"/>
  <c r="BU40" i="3" s="1"/>
  <c r="BR41" i="3" a="1"/>
  <c r="BR41" i="3" s="1"/>
  <c r="BS41" i="3" a="1"/>
  <c r="BS41" i="3" s="1"/>
  <c r="BT41" i="3" a="1"/>
  <c r="BT41" i="3" s="1"/>
  <c r="BU41" i="3" a="1"/>
  <c r="BU41" i="3" s="1"/>
  <c r="BR42" i="3" a="1"/>
  <c r="BR42" i="3" s="1"/>
  <c r="BS42" i="3" a="1"/>
  <c r="BS42" i="3" s="1"/>
  <c r="BT42" i="3" a="1"/>
  <c r="BT42" i="3" s="1"/>
  <c r="BU42" i="3" a="1"/>
  <c r="BU42" i="3" s="1"/>
  <c r="BR43" i="3" a="1"/>
  <c r="BR43" i="3" s="1"/>
  <c r="BS43" i="3" a="1"/>
  <c r="BS43" i="3" s="1"/>
  <c r="BT43" i="3" a="1"/>
  <c r="BT43" i="3" s="1"/>
  <c r="BU43" i="3" a="1"/>
  <c r="BU43" i="3" s="1"/>
  <c r="BS2" i="3" a="1"/>
  <c r="BS2" i="3" s="1"/>
  <c r="BT2" i="3" a="1"/>
  <c r="BT2" i="3" s="1"/>
  <c r="BU2" i="3" a="1"/>
  <c r="BU2" i="3" s="1"/>
  <c r="BR2" i="3" a="1"/>
  <c r="BR2" i="3" s="1"/>
  <c r="DA3" i="3" a="1"/>
  <c r="DA3" i="3" s="1"/>
  <c r="DB3" i="3" a="1"/>
  <c r="DB3" i="3" s="1"/>
  <c r="DC3" i="3" a="1"/>
  <c r="DC3" i="3" s="1"/>
  <c r="DD3" i="3" a="1"/>
  <c r="DD3" i="3" s="1"/>
  <c r="DA4" i="3" a="1"/>
  <c r="DA4" i="3" s="1"/>
  <c r="DB4" i="3" a="1"/>
  <c r="DB4" i="3" s="1"/>
  <c r="DC4" i="3" a="1"/>
  <c r="DC4" i="3" s="1"/>
  <c r="DD4" i="3" a="1"/>
  <c r="DD4" i="3" s="1"/>
  <c r="DA5" i="3" a="1"/>
  <c r="DA5" i="3" s="1"/>
  <c r="DB5" i="3" a="1"/>
  <c r="DB5" i="3" s="1"/>
  <c r="DC5" i="3" a="1"/>
  <c r="DC5" i="3" s="1"/>
  <c r="DD5" i="3" a="1"/>
  <c r="DD5" i="3" s="1"/>
  <c r="DA6" i="3" a="1"/>
  <c r="DA6" i="3" s="1"/>
  <c r="DB6" i="3" a="1"/>
  <c r="DB6" i="3" s="1"/>
  <c r="DC6" i="3" a="1"/>
  <c r="DC6" i="3" s="1"/>
  <c r="DD6" i="3" a="1"/>
  <c r="DD6" i="3" s="1"/>
  <c r="DA7" i="3" a="1"/>
  <c r="DA7" i="3" s="1"/>
  <c r="DB7" i="3" a="1"/>
  <c r="DB7" i="3" s="1"/>
  <c r="DC7" i="3" a="1"/>
  <c r="DC7" i="3" s="1"/>
  <c r="DD7" i="3" a="1"/>
  <c r="DD7" i="3" s="1"/>
  <c r="DA8" i="3" a="1"/>
  <c r="DA8" i="3" s="1"/>
  <c r="DB8" i="3" a="1"/>
  <c r="DB8" i="3" s="1"/>
  <c r="DC8" i="3" a="1"/>
  <c r="DC8" i="3" s="1"/>
  <c r="DD8" i="3" a="1"/>
  <c r="DD8" i="3" s="1"/>
  <c r="DA9" i="3" a="1"/>
  <c r="DA9" i="3" s="1"/>
  <c r="DB9" i="3" a="1"/>
  <c r="DB9" i="3" s="1"/>
  <c r="DC9" i="3" a="1"/>
  <c r="DC9" i="3" s="1"/>
  <c r="DD9" i="3" a="1"/>
  <c r="DD9" i="3" s="1"/>
  <c r="DA10" i="3" a="1"/>
  <c r="DA10" i="3" s="1"/>
  <c r="DB10" i="3" a="1"/>
  <c r="DB10" i="3" s="1"/>
  <c r="DC10" i="3" a="1"/>
  <c r="DC10" i="3" s="1"/>
  <c r="DD10" i="3" a="1"/>
  <c r="DD10" i="3" s="1"/>
  <c r="DA11" i="3" a="1"/>
  <c r="DA11" i="3" s="1"/>
  <c r="DB11" i="3" a="1"/>
  <c r="DB11" i="3" s="1"/>
  <c r="DC11" i="3" a="1"/>
  <c r="DC11" i="3" s="1"/>
  <c r="DD11" i="3" a="1"/>
  <c r="DD11" i="3" s="1"/>
  <c r="DA12" i="3" a="1"/>
  <c r="DA12" i="3" s="1"/>
  <c r="DB12" i="3" a="1"/>
  <c r="DB12" i="3" s="1"/>
  <c r="DC12" i="3" a="1"/>
  <c r="DC12" i="3" s="1"/>
  <c r="DD12" i="3" a="1"/>
  <c r="DD12" i="3" s="1"/>
  <c r="DA13" i="3" a="1"/>
  <c r="DA13" i="3" s="1"/>
  <c r="DB13" i="3" a="1"/>
  <c r="DB13" i="3" s="1"/>
  <c r="DC13" i="3" a="1"/>
  <c r="DC13" i="3" s="1"/>
  <c r="DD13" i="3" a="1"/>
  <c r="DD13" i="3" s="1"/>
  <c r="DA14" i="3" a="1"/>
  <c r="DA14" i="3" s="1"/>
  <c r="DB14" i="3" a="1"/>
  <c r="DB14" i="3" s="1"/>
  <c r="DC14" i="3" a="1"/>
  <c r="DC14" i="3" s="1"/>
  <c r="DD14" i="3" a="1"/>
  <c r="DD14" i="3" s="1"/>
  <c r="DA15" i="3" a="1"/>
  <c r="DA15" i="3" s="1"/>
  <c r="DB15" i="3" a="1"/>
  <c r="DB15" i="3" s="1"/>
  <c r="DC15" i="3" a="1"/>
  <c r="DC15" i="3" s="1"/>
  <c r="DD15" i="3" a="1"/>
  <c r="DD15" i="3" s="1"/>
  <c r="DA16" i="3" a="1"/>
  <c r="DA16" i="3" s="1"/>
  <c r="DB16" i="3" a="1"/>
  <c r="DB16" i="3" s="1"/>
  <c r="DC16" i="3" a="1"/>
  <c r="DC16" i="3" s="1"/>
  <c r="DD16" i="3" a="1"/>
  <c r="DD16" i="3" s="1"/>
  <c r="DA17" i="3" a="1"/>
  <c r="DA17" i="3" s="1"/>
  <c r="DB17" i="3" a="1"/>
  <c r="DB17" i="3" s="1"/>
  <c r="DC17" i="3" a="1"/>
  <c r="DC17" i="3" s="1"/>
  <c r="DD17" i="3" a="1"/>
  <c r="DD17" i="3" s="1"/>
  <c r="DA18" i="3" a="1"/>
  <c r="DA18" i="3" s="1"/>
  <c r="DB18" i="3" a="1"/>
  <c r="DB18" i="3" s="1"/>
  <c r="DC18" i="3" a="1"/>
  <c r="DC18" i="3" s="1"/>
  <c r="DD18" i="3" a="1"/>
  <c r="DD18" i="3" s="1"/>
  <c r="DA19" i="3" a="1"/>
  <c r="DA19" i="3" s="1"/>
  <c r="DB19" i="3" a="1"/>
  <c r="DB19" i="3" s="1"/>
  <c r="DC19" i="3" a="1"/>
  <c r="DC19" i="3" s="1"/>
  <c r="DD19" i="3" a="1"/>
  <c r="DD19" i="3" s="1"/>
  <c r="DA20" i="3" a="1"/>
  <c r="DA20" i="3" s="1"/>
  <c r="DB20" i="3" a="1"/>
  <c r="DB20" i="3" s="1"/>
  <c r="DC20" i="3" a="1"/>
  <c r="DC20" i="3" s="1"/>
  <c r="DD20" i="3" a="1"/>
  <c r="DD20" i="3" s="1"/>
  <c r="DA21" i="3" a="1"/>
  <c r="DA21" i="3" s="1"/>
  <c r="DB21" i="3" a="1"/>
  <c r="DB21" i="3" s="1"/>
  <c r="DC21" i="3" a="1"/>
  <c r="DC21" i="3" s="1"/>
  <c r="DD21" i="3" a="1"/>
  <c r="DD21" i="3" s="1"/>
  <c r="DA22" i="3" a="1"/>
  <c r="DA22" i="3" s="1"/>
  <c r="DB22" i="3" a="1"/>
  <c r="DB22" i="3" s="1"/>
  <c r="DC22" i="3" a="1"/>
  <c r="DC22" i="3" s="1"/>
  <c r="DD22" i="3" a="1"/>
  <c r="DD22" i="3" s="1"/>
  <c r="DA23" i="3" a="1"/>
  <c r="DA23" i="3" s="1"/>
  <c r="DB23" i="3" a="1"/>
  <c r="DB23" i="3" s="1"/>
  <c r="DC23" i="3" a="1"/>
  <c r="DC23" i="3" s="1"/>
  <c r="DD23" i="3" a="1"/>
  <c r="DD23" i="3" s="1"/>
  <c r="DA24" i="3" a="1"/>
  <c r="DA24" i="3" s="1"/>
  <c r="DB24" i="3" a="1"/>
  <c r="DB24" i="3" s="1"/>
  <c r="DC24" i="3" a="1"/>
  <c r="DC24" i="3" s="1"/>
  <c r="DD24" i="3" a="1"/>
  <c r="DD24" i="3" s="1"/>
  <c r="DA25" i="3" a="1"/>
  <c r="DA25" i="3" s="1"/>
  <c r="DB25" i="3" a="1"/>
  <c r="DB25" i="3" s="1"/>
  <c r="DC25" i="3" a="1"/>
  <c r="DC25" i="3" s="1"/>
  <c r="DD25" i="3" a="1"/>
  <c r="DD25" i="3" s="1"/>
  <c r="DA26" i="3" a="1"/>
  <c r="DA26" i="3" s="1"/>
  <c r="DB26" i="3" a="1"/>
  <c r="DB26" i="3" s="1"/>
  <c r="DC26" i="3" a="1"/>
  <c r="DC26" i="3" s="1"/>
  <c r="DD26" i="3" a="1"/>
  <c r="DD26" i="3" s="1"/>
  <c r="DA27" i="3" a="1"/>
  <c r="DA27" i="3" s="1"/>
  <c r="DB27" i="3" a="1"/>
  <c r="DB27" i="3" s="1"/>
  <c r="DC27" i="3" a="1"/>
  <c r="DC27" i="3" s="1"/>
  <c r="DD27" i="3" a="1"/>
  <c r="DD27" i="3" s="1"/>
  <c r="DA28" i="3" a="1"/>
  <c r="DA28" i="3" s="1"/>
  <c r="DB28" i="3" a="1"/>
  <c r="DB28" i="3" s="1"/>
  <c r="DC28" i="3" a="1"/>
  <c r="DC28" i="3" s="1"/>
  <c r="DD28" i="3" a="1"/>
  <c r="DD28" i="3" s="1"/>
  <c r="DA29" i="3" a="1"/>
  <c r="DA29" i="3" s="1"/>
  <c r="DB29" i="3" a="1"/>
  <c r="DB29" i="3" s="1"/>
  <c r="DC29" i="3" a="1"/>
  <c r="DC29" i="3" s="1"/>
  <c r="DD29" i="3" a="1"/>
  <c r="DD29" i="3" s="1"/>
  <c r="DA30" i="3" a="1"/>
  <c r="DA30" i="3" s="1"/>
  <c r="DB30" i="3" a="1"/>
  <c r="DB30" i="3" s="1"/>
  <c r="DC30" i="3" a="1"/>
  <c r="DC30" i="3" s="1"/>
  <c r="DD30" i="3" a="1"/>
  <c r="DD30" i="3" s="1"/>
  <c r="DA31" i="3" a="1"/>
  <c r="DA31" i="3" s="1"/>
  <c r="DB31" i="3" a="1"/>
  <c r="DB31" i="3" s="1"/>
  <c r="DC31" i="3" a="1"/>
  <c r="DC31" i="3" s="1"/>
  <c r="DD31" i="3" a="1"/>
  <c r="DD31" i="3" s="1"/>
  <c r="DA32" i="3" a="1"/>
  <c r="DA32" i="3" s="1"/>
  <c r="DB32" i="3" a="1"/>
  <c r="DB32" i="3" s="1"/>
  <c r="DC32" i="3" a="1"/>
  <c r="DC32" i="3" s="1"/>
  <c r="DD32" i="3" a="1"/>
  <c r="DD32" i="3" s="1"/>
  <c r="DA33" i="3" a="1"/>
  <c r="DA33" i="3" s="1"/>
  <c r="DB33" i="3" a="1"/>
  <c r="DB33" i="3" s="1"/>
  <c r="DC33" i="3" a="1"/>
  <c r="DC33" i="3" s="1"/>
  <c r="DD33" i="3" a="1"/>
  <c r="DD33" i="3" s="1"/>
  <c r="DA34" i="3" a="1"/>
  <c r="DA34" i="3" s="1"/>
  <c r="DB34" i="3" a="1"/>
  <c r="DB34" i="3" s="1"/>
  <c r="DC34" i="3" a="1"/>
  <c r="DC34" i="3" s="1"/>
  <c r="DD34" i="3" a="1"/>
  <c r="DD34" i="3" s="1"/>
  <c r="DA35" i="3" a="1"/>
  <c r="DA35" i="3" s="1"/>
  <c r="DB35" i="3" a="1"/>
  <c r="DB35" i="3" s="1"/>
  <c r="DC35" i="3" a="1"/>
  <c r="DC35" i="3" s="1"/>
  <c r="DD35" i="3" a="1"/>
  <c r="DD35" i="3" s="1"/>
  <c r="DA36" i="3" a="1"/>
  <c r="DA36" i="3" s="1"/>
  <c r="DB36" i="3" a="1"/>
  <c r="DB36" i="3" s="1"/>
  <c r="DC36" i="3" a="1"/>
  <c r="DC36" i="3" s="1"/>
  <c r="DD36" i="3" a="1"/>
  <c r="DD36" i="3" s="1"/>
  <c r="DA37" i="3" a="1"/>
  <c r="DA37" i="3" s="1"/>
  <c r="DB37" i="3" a="1"/>
  <c r="DB37" i="3" s="1"/>
  <c r="DC37" i="3" a="1"/>
  <c r="DC37" i="3" s="1"/>
  <c r="DD37" i="3" a="1"/>
  <c r="DD37" i="3" s="1"/>
  <c r="DA38" i="3" a="1"/>
  <c r="DA38" i="3" s="1"/>
  <c r="DB38" i="3" a="1"/>
  <c r="DB38" i="3" s="1"/>
  <c r="DC38" i="3" a="1"/>
  <c r="DC38" i="3" s="1"/>
  <c r="DD38" i="3" a="1"/>
  <c r="DD38" i="3" s="1"/>
  <c r="DA39" i="3" a="1"/>
  <c r="DA39" i="3" s="1"/>
  <c r="DB39" i="3" a="1"/>
  <c r="DB39" i="3" s="1"/>
  <c r="DC39" i="3" a="1"/>
  <c r="DC39" i="3" s="1"/>
  <c r="DD39" i="3" a="1"/>
  <c r="DD39" i="3" s="1"/>
  <c r="DA40" i="3" a="1"/>
  <c r="DA40" i="3" s="1"/>
  <c r="DB40" i="3" a="1"/>
  <c r="DB40" i="3" s="1"/>
  <c r="DC40" i="3" a="1"/>
  <c r="DC40" i="3" s="1"/>
  <c r="DD40" i="3" a="1"/>
  <c r="DD40" i="3" s="1"/>
  <c r="DA41" i="3" a="1"/>
  <c r="DA41" i="3" s="1"/>
  <c r="DB41" i="3" a="1"/>
  <c r="DB41" i="3" s="1"/>
  <c r="DC41" i="3" a="1"/>
  <c r="DC41" i="3" s="1"/>
  <c r="DD41" i="3" a="1"/>
  <c r="DD41" i="3" s="1"/>
  <c r="DA42" i="3" a="1"/>
  <c r="DA42" i="3" s="1"/>
  <c r="DB42" i="3" a="1"/>
  <c r="DB42" i="3" s="1"/>
  <c r="DC42" i="3" a="1"/>
  <c r="DC42" i="3" s="1"/>
  <c r="DD42" i="3" a="1"/>
  <c r="DD42" i="3" s="1"/>
  <c r="DA43" i="3" a="1"/>
  <c r="DA43" i="3" s="1"/>
  <c r="DB43" i="3" a="1"/>
  <c r="DB43" i="3" s="1"/>
  <c r="DC43" i="3" a="1"/>
  <c r="DC43" i="3" s="1"/>
  <c r="DD43" i="3" a="1"/>
  <c r="DD43" i="3" s="1"/>
  <c r="DB2" i="3" a="1"/>
  <c r="DB2" i="3" s="1"/>
  <c r="DC2" i="3" a="1"/>
  <c r="DC2" i="3" s="1"/>
  <c r="DD2" i="3" a="1"/>
  <c r="DD2" i="3" s="1"/>
  <c r="DA2" i="3" a="1"/>
  <c r="DA2" i="3" s="1"/>
  <c r="CV3" i="3" a="1"/>
  <c r="CV3" i="3" s="1"/>
  <c r="CW3" i="3" a="1"/>
  <c r="CW3" i="3" s="1"/>
  <c r="CX3" i="3" a="1"/>
  <c r="CX3" i="3" s="1"/>
  <c r="CY3" i="3" a="1"/>
  <c r="CY3" i="3" s="1"/>
  <c r="CV4" i="3" a="1"/>
  <c r="CV4" i="3" s="1"/>
  <c r="CW4" i="3" a="1"/>
  <c r="CW4" i="3" s="1"/>
  <c r="CX4" i="3" a="1"/>
  <c r="CX4" i="3" s="1"/>
  <c r="CY4" i="3" a="1"/>
  <c r="CY4" i="3" s="1"/>
  <c r="CV5" i="3" a="1"/>
  <c r="CV5" i="3" s="1"/>
  <c r="CW5" i="3" a="1"/>
  <c r="CW5" i="3" s="1"/>
  <c r="CX5" i="3" a="1"/>
  <c r="CX5" i="3" s="1"/>
  <c r="CY5" i="3" a="1"/>
  <c r="CY5" i="3" s="1"/>
  <c r="CV6" i="3" a="1"/>
  <c r="CV6" i="3" s="1"/>
  <c r="CW6" i="3" a="1"/>
  <c r="CW6" i="3" s="1"/>
  <c r="CX6" i="3" a="1"/>
  <c r="CX6" i="3" s="1"/>
  <c r="CY6" i="3" a="1"/>
  <c r="CY6" i="3" s="1"/>
  <c r="CV7" i="3" a="1"/>
  <c r="CV7" i="3" s="1"/>
  <c r="CW7" i="3" a="1"/>
  <c r="CW7" i="3" s="1"/>
  <c r="CX7" i="3" a="1"/>
  <c r="CX7" i="3" s="1"/>
  <c r="CY7" i="3" a="1"/>
  <c r="CY7" i="3" s="1"/>
  <c r="CV8" i="3" a="1"/>
  <c r="CV8" i="3" s="1"/>
  <c r="CW8" i="3" a="1"/>
  <c r="CW8" i="3" s="1"/>
  <c r="CX8" i="3" a="1"/>
  <c r="CX8" i="3" s="1"/>
  <c r="CY8" i="3" a="1"/>
  <c r="CY8" i="3" s="1"/>
  <c r="CV9" i="3" a="1"/>
  <c r="CV9" i="3" s="1"/>
  <c r="CW9" i="3" a="1"/>
  <c r="CW9" i="3" s="1"/>
  <c r="CX9" i="3" a="1"/>
  <c r="CX9" i="3" s="1"/>
  <c r="CY9" i="3" a="1"/>
  <c r="CY9" i="3" s="1"/>
  <c r="CV10" i="3" a="1"/>
  <c r="CV10" i="3" s="1"/>
  <c r="CW10" i="3" a="1"/>
  <c r="CW10" i="3" s="1"/>
  <c r="CX10" i="3" a="1"/>
  <c r="CX10" i="3" s="1"/>
  <c r="CY10" i="3" a="1"/>
  <c r="CY10" i="3" s="1"/>
  <c r="CV11" i="3" a="1"/>
  <c r="CV11" i="3" s="1"/>
  <c r="CW11" i="3" a="1"/>
  <c r="CW11" i="3" s="1"/>
  <c r="CX11" i="3" a="1"/>
  <c r="CX11" i="3" s="1"/>
  <c r="CY11" i="3" a="1"/>
  <c r="CY11" i="3" s="1"/>
  <c r="CV12" i="3" a="1"/>
  <c r="CV12" i="3" s="1"/>
  <c r="CW12" i="3" a="1"/>
  <c r="CW12" i="3" s="1"/>
  <c r="CX12" i="3" a="1"/>
  <c r="CX12" i="3" s="1"/>
  <c r="CY12" i="3" a="1"/>
  <c r="CY12" i="3" s="1"/>
  <c r="CV13" i="3" a="1"/>
  <c r="CV13" i="3" s="1"/>
  <c r="CW13" i="3" a="1"/>
  <c r="CW13" i="3" s="1"/>
  <c r="CX13" i="3" a="1"/>
  <c r="CX13" i="3" s="1"/>
  <c r="CY13" i="3" a="1"/>
  <c r="CY13" i="3" s="1"/>
  <c r="CV14" i="3" a="1"/>
  <c r="CV14" i="3" s="1"/>
  <c r="CW14" i="3" a="1"/>
  <c r="CW14" i="3" s="1"/>
  <c r="CX14" i="3" a="1"/>
  <c r="CX14" i="3" s="1"/>
  <c r="CY14" i="3" a="1"/>
  <c r="CY14" i="3" s="1"/>
  <c r="CV15" i="3" a="1"/>
  <c r="CV15" i="3" s="1"/>
  <c r="CW15" i="3" a="1"/>
  <c r="CW15" i="3" s="1"/>
  <c r="CX15" i="3" a="1"/>
  <c r="CX15" i="3" s="1"/>
  <c r="CY15" i="3" a="1"/>
  <c r="CY15" i="3" s="1"/>
  <c r="CV16" i="3" a="1"/>
  <c r="CV16" i="3" s="1"/>
  <c r="CW16" i="3" a="1"/>
  <c r="CW16" i="3" s="1"/>
  <c r="CX16" i="3" a="1"/>
  <c r="CX16" i="3" s="1"/>
  <c r="CY16" i="3" a="1"/>
  <c r="CY16" i="3" s="1"/>
  <c r="CV17" i="3" a="1"/>
  <c r="CV17" i="3" s="1"/>
  <c r="CW17" i="3" a="1"/>
  <c r="CW17" i="3" s="1"/>
  <c r="CX17" i="3" a="1"/>
  <c r="CX17" i="3" s="1"/>
  <c r="CY17" i="3" a="1"/>
  <c r="CY17" i="3" s="1"/>
  <c r="CV18" i="3" a="1"/>
  <c r="CV18" i="3" s="1"/>
  <c r="CW18" i="3" a="1"/>
  <c r="CW18" i="3" s="1"/>
  <c r="CX18" i="3" a="1"/>
  <c r="CX18" i="3" s="1"/>
  <c r="CY18" i="3" a="1"/>
  <c r="CY18" i="3" s="1"/>
  <c r="CV19" i="3" a="1"/>
  <c r="CV19" i="3" s="1"/>
  <c r="CW19" i="3" a="1"/>
  <c r="CW19" i="3" s="1"/>
  <c r="CX19" i="3" a="1"/>
  <c r="CX19" i="3" s="1"/>
  <c r="CY19" i="3" a="1"/>
  <c r="CY19" i="3" s="1"/>
  <c r="CV20" i="3" a="1"/>
  <c r="CV20" i="3" s="1"/>
  <c r="CW20" i="3" a="1"/>
  <c r="CW20" i="3" s="1"/>
  <c r="CX20" i="3" a="1"/>
  <c r="CX20" i="3" s="1"/>
  <c r="CY20" i="3" a="1"/>
  <c r="CY20" i="3" s="1"/>
  <c r="CV21" i="3" a="1"/>
  <c r="CV21" i="3" s="1"/>
  <c r="CW21" i="3" a="1"/>
  <c r="CW21" i="3" s="1"/>
  <c r="CX21" i="3" a="1"/>
  <c r="CX21" i="3" s="1"/>
  <c r="CY21" i="3" a="1"/>
  <c r="CY21" i="3" s="1"/>
  <c r="CV22" i="3" a="1"/>
  <c r="CV22" i="3" s="1"/>
  <c r="CW22" i="3" a="1"/>
  <c r="CW22" i="3" s="1"/>
  <c r="CX22" i="3" a="1"/>
  <c r="CX22" i="3" s="1"/>
  <c r="CY22" i="3" a="1"/>
  <c r="CY22" i="3" s="1"/>
  <c r="CV23" i="3" a="1"/>
  <c r="CV23" i="3" s="1"/>
  <c r="CW23" i="3" a="1"/>
  <c r="CW23" i="3" s="1"/>
  <c r="CX23" i="3" a="1"/>
  <c r="CX23" i="3" s="1"/>
  <c r="CY23" i="3" a="1"/>
  <c r="CY23" i="3" s="1"/>
  <c r="CV24" i="3" a="1"/>
  <c r="CV24" i="3" s="1"/>
  <c r="CW24" i="3" a="1"/>
  <c r="CW24" i="3" s="1"/>
  <c r="CX24" i="3" a="1"/>
  <c r="CX24" i="3" s="1"/>
  <c r="CY24" i="3" a="1"/>
  <c r="CY24" i="3" s="1"/>
  <c r="CV25" i="3" a="1"/>
  <c r="CV25" i="3" s="1"/>
  <c r="CW25" i="3" a="1"/>
  <c r="CW25" i="3" s="1"/>
  <c r="CX25" i="3" a="1"/>
  <c r="CX25" i="3" s="1"/>
  <c r="CY25" i="3" a="1"/>
  <c r="CY25" i="3" s="1"/>
  <c r="CV26" i="3" a="1"/>
  <c r="CV26" i="3" s="1"/>
  <c r="CW26" i="3" a="1"/>
  <c r="CW26" i="3" s="1"/>
  <c r="CX26" i="3" a="1"/>
  <c r="CX26" i="3" s="1"/>
  <c r="CY26" i="3" a="1"/>
  <c r="CY26" i="3" s="1"/>
  <c r="CV27" i="3" a="1"/>
  <c r="CV27" i="3" s="1"/>
  <c r="CW27" i="3" a="1"/>
  <c r="CW27" i="3" s="1"/>
  <c r="CX27" i="3" a="1"/>
  <c r="CX27" i="3" s="1"/>
  <c r="CY27" i="3" a="1"/>
  <c r="CY27" i="3" s="1"/>
  <c r="CV28" i="3" a="1"/>
  <c r="CV28" i="3" s="1"/>
  <c r="CW28" i="3" a="1"/>
  <c r="CW28" i="3" s="1"/>
  <c r="CX28" i="3" a="1"/>
  <c r="CX28" i="3" s="1"/>
  <c r="CY28" i="3" a="1"/>
  <c r="CY28" i="3" s="1"/>
  <c r="CV29" i="3" a="1"/>
  <c r="CV29" i="3" s="1"/>
  <c r="CW29" i="3" a="1"/>
  <c r="CW29" i="3" s="1"/>
  <c r="CX29" i="3" a="1"/>
  <c r="CX29" i="3" s="1"/>
  <c r="CY29" i="3" a="1"/>
  <c r="CY29" i="3" s="1"/>
  <c r="CV30" i="3" a="1"/>
  <c r="CV30" i="3" s="1"/>
  <c r="CW30" i="3" a="1"/>
  <c r="CW30" i="3" s="1"/>
  <c r="CX30" i="3" a="1"/>
  <c r="CX30" i="3" s="1"/>
  <c r="CY30" i="3" a="1"/>
  <c r="CY30" i="3" s="1"/>
  <c r="CV31" i="3" a="1"/>
  <c r="CV31" i="3" s="1"/>
  <c r="CW31" i="3" a="1"/>
  <c r="CW31" i="3" s="1"/>
  <c r="CX31" i="3" a="1"/>
  <c r="CX31" i="3" s="1"/>
  <c r="CY31" i="3" a="1"/>
  <c r="CY31" i="3" s="1"/>
  <c r="CV32" i="3" a="1"/>
  <c r="CV32" i="3" s="1"/>
  <c r="CW32" i="3" a="1"/>
  <c r="CW32" i="3" s="1"/>
  <c r="CX32" i="3" a="1"/>
  <c r="CX32" i="3" s="1"/>
  <c r="CY32" i="3" a="1"/>
  <c r="CY32" i="3" s="1"/>
  <c r="CV33" i="3" a="1"/>
  <c r="CV33" i="3" s="1"/>
  <c r="CW33" i="3" a="1"/>
  <c r="CW33" i="3" s="1"/>
  <c r="CX33" i="3" a="1"/>
  <c r="CX33" i="3" s="1"/>
  <c r="CY33" i="3" a="1"/>
  <c r="CY33" i="3" s="1"/>
  <c r="CV34" i="3" a="1"/>
  <c r="CV34" i="3" s="1"/>
  <c r="CW34" i="3" a="1"/>
  <c r="CW34" i="3" s="1"/>
  <c r="CX34" i="3" a="1"/>
  <c r="CX34" i="3" s="1"/>
  <c r="CY34" i="3" a="1"/>
  <c r="CY34" i="3" s="1"/>
  <c r="CV35" i="3" a="1"/>
  <c r="CV35" i="3" s="1"/>
  <c r="CW35" i="3" a="1"/>
  <c r="CW35" i="3" s="1"/>
  <c r="CX35" i="3" a="1"/>
  <c r="CX35" i="3" s="1"/>
  <c r="CY35" i="3" a="1"/>
  <c r="CY35" i="3" s="1"/>
  <c r="CV36" i="3" a="1"/>
  <c r="CV36" i="3" s="1"/>
  <c r="CW36" i="3" a="1"/>
  <c r="CW36" i="3" s="1"/>
  <c r="CX36" i="3" a="1"/>
  <c r="CX36" i="3" s="1"/>
  <c r="CY36" i="3" a="1"/>
  <c r="CY36" i="3" s="1"/>
  <c r="CV37" i="3" a="1"/>
  <c r="CV37" i="3" s="1"/>
  <c r="CW37" i="3" a="1"/>
  <c r="CW37" i="3" s="1"/>
  <c r="CX37" i="3" a="1"/>
  <c r="CX37" i="3" s="1"/>
  <c r="CY37" i="3" a="1"/>
  <c r="CY37" i="3" s="1"/>
  <c r="CV38" i="3" a="1"/>
  <c r="CV38" i="3" s="1"/>
  <c r="CW38" i="3" a="1"/>
  <c r="CW38" i="3" s="1"/>
  <c r="CX38" i="3" a="1"/>
  <c r="CX38" i="3" s="1"/>
  <c r="CY38" i="3" a="1"/>
  <c r="CY38" i="3" s="1"/>
  <c r="CV39" i="3" a="1"/>
  <c r="CV39" i="3" s="1"/>
  <c r="CW39" i="3" a="1"/>
  <c r="CW39" i="3" s="1"/>
  <c r="CX39" i="3" a="1"/>
  <c r="CX39" i="3" s="1"/>
  <c r="CY39" i="3" a="1"/>
  <c r="CY39" i="3" s="1"/>
  <c r="CV40" i="3" a="1"/>
  <c r="CV40" i="3" s="1"/>
  <c r="CW40" i="3" a="1"/>
  <c r="CW40" i="3" s="1"/>
  <c r="CX40" i="3" a="1"/>
  <c r="CX40" i="3" s="1"/>
  <c r="CY40" i="3" a="1"/>
  <c r="CY40" i="3" s="1"/>
  <c r="CV41" i="3" a="1"/>
  <c r="CV41" i="3" s="1"/>
  <c r="CW41" i="3" a="1"/>
  <c r="CW41" i="3" s="1"/>
  <c r="CX41" i="3" a="1"/>
  <c r="CX41" i="3" s="1"/>
  <c r="CY41" i="3" a="1"/>
  <c r="CY41" i="3" s="1"/>
  <c r="CV42" i="3" a="1"/>
  <c r="CV42" i="3" s="1"/>
  <c r="CW42" i="3" a="1"/>
  <c r="CW42" i="3" s="1"/>
  <c r="CX42" i="3" a="1"/>
  <c r="CX42" i="3" s="1"/>
  <c r="CY42" i="3" a="1"/>
  <c r="CY42" i="3" s="1"/>
  <c r="CV43" i="3" a="1"/>
  <c r="CV43" i="3" s="1"/>
  <c r="CW43" i="3" a="1"/>
  <c r="CW43" i="3" s="1"/>
  <c r="CX43" i="3" a="1"/>
  <c r="CX43" i="3" s="1"/>
  <c r="CY43" i="3" a="1"/>
  <c r="CY43" i="3" s="1"/>
  <c r="CW2" i="3" a="1"/>
  <c r="CW2" i="3" s="1"/>
  <c r="CX2" i="3" a="1"/>
  <c r="CX2" i="3" s="1"/>
  <c r="CY2" i="3" a="1"/>
  <c r="CY2" i="3" s="1"/>
  <c r="CV2" i="3" a="1"/>
  <c r="CV2" i="3" s="1"/>
  <c r="CL3" i="3" a="1"/>
  <c r="CL3" i="3" s="1"/>
  <c r="CM3" i="3" a="1"/>
  <c r="CM3" i="3" s="1"/>
  <c r="CN3" i="3" a="1"/>
  <c r="CN3" i="3" s="1"/>
  <c r="CO3" i="3" a="1"/>
  <c r="CO3" i="3" s="1"/>
  <c r="CL4" i="3" a="1"/>
  <c r="CL4" i="3" s="1"/>
  <c r="CM4" i="3" a="1"/>
  <c r="CM4" i="3" s="1"/>
  <c r="CN4" i="3" a="1"/>
  <c r="CN4" i="3" s="1"/>
  <c r="CO4" i="3" a="1"/>
  <c r="CO4" i="3" s="1"/>
  <c r="CL5" i="3" a="1"/>
  <c r="CL5" i="3" s="1"/>
  <c r="CM5" i="3" a="1"/>
  <c r="CM5" i="3" s="1"/>
  <c r="CN5" i="3" a="1"/>
  <c r="CN5" i="3" s="1"/>
  <c r="CO5" i="3" a="1"/>
  <c r="CO5" i="3" s="1"/>
  <c r="CL6" i="3" a="1"/>
  <c r="CL6" i="3" s="1"/>
  <c r="CM6" i="3" a="1"/>
  <c r="CM6" i="3" s="1"/>
  <c r="CN6" i="3" a="1"/>
  <c r="CN6" i="3" s="1"/>
  <c r="CO6" i="3" a="1"/>
  <c r="CO6" i="3" s="1"/>
  <c r="CL7" i="3" a="1"/>
  <c r="CL7" i="3" s="1"/>
  <c r="CM7" i="3" a="1"/>
  <c r="CM7" i="3" s="1"/>
  <c r="CN7" i="3" a="1"/>
  <c r="CN7" i="3" s="1"/>
  <c r="CO7" i="3" a="1"/>
  <c r="CO7" i="3" s="1"/>
  <c r="CL8" i="3" a="1"/>
  <c r="CL8" i="3" s="1"/>
  <c r="CM8" i="3" a="1"/>
  <c r="CM8" i="3" s="1"/>
  <c r="CN8" i="3" a="1"/>
  <c r="CN8" i="3" s="1"/>
  <c r="CO8" i="3" a="1"/>
  <c r="CO8" i="3" s="1"/>
  <c r="CL9" i="3" a="1"/>
  <c r="CL9" i="3" s="1"/>
  <c r="CM9" i="3" a="1"/>
  <c r="CM9" i="3" s="1"/>
  <c r="CN9" i="3" a="1"/>
  <c r="CN9" i="3" s="1"/>
  <c r="CO9" i="3" a="1"/>
  <c r="CO9" i="3" s="1"/>
  <c r="CL10" i="3" a="1"/>
  <c r="CL10" i="3" s="1"/>
  <c r="CM10" i="3" a="1"/>
  <c r="CM10" i="3" s="1"/>
  <c r="CN10" i="3" a="1"/>
  <c r="CN10" i="3" s="1"/>
  <c r="CO10" i="3" a="1"/>
  <c r="CO10" i="3" s="1"/>
  <c r="CL11" i="3" a="1"/>
  <c r="CL11" i="3" s="1"/>
  <c r="CM11" i="3" a="1"/>
  <c r="CM11" i="3" s="1"/>
  <c r="CN11" i="3" a="1"/>
  <c r="CN11" i="3" s="1"/>
  <c r="CO11" i="3" a="1"/>
  <c r="CO11" i="3" s="1"/>
  <c r="CL12" i="3" a="1"/>
  <c r="CL12" i="3" s="1"/>
  <c r="CM12" i="3" a="1"/>
  <c r="CM12" i="3" s="1"/>
  <c r="CN12" i="3" a="1"/>
  <c r="CN12" i="3" s="1"/>
  <c r="CO12" i="3" a="1"/>
  <c r="CO12" i="3" s="1"/>
  <c r="CL13" i="3" a="1"/>
  <c r="CL13" i="3" s="1"/>
  <c r="CM13" i="3" a="1"/>
  <c r="CM13" i="3" s="1"/>
  <c r="CN13" i="3" a="1"/>
  <c r="CN13" i="3" s="1"/>
  <c r="CO13" i="3" a="1"/>
  <c r="CO13" i="3" s="1"/>
  <c r="CL14" i="3" a="1"/>
  <c r="CL14" i="3" s="1"/>
  <c r="CM14" i="3" a="1"/>
  <c r="CM14" i="3" s="1"/>
  <c r="CN14" i="3" a="1"/>
  <c r="CN14" i="3" s="1"/>
  <c r="CO14" i="3" a="1"/>
  <c r="CO14" i="3" s="1"/>
  <c r="CL15" i="3" a="1"/>
  <c r="CL15" i="3" s="1"/>
  <c r="CM15" i="3" a="1"/>
  <c r="CM15" i="3" s="1"/>
  <c r="CN15" i="3" a="1"/>
  <c r="CN15" i="3" s="1"/>
  <c r="CO15" i="3" a="1"/>
  <c r="CO15" i="3" s="1"/>
  <c r="CL16" i="3" a="1"/>
  <c r="CL16" i="3" s="1"/>
  <c r="CM16" i="3" a="1"/>
  <c r="CM16" i="3" s="1"/>
  <c r="CN16" i="3" a="1"/>
  <c r="CN16" i="3" s="1"/>
  <c r="CO16" i="3" a="1"/>
  <c r="CO16" i="3" s="1"/>
  <c r="CL17" i="3" a="1"/>
  <c r="CL17" i="3" s="1"/>
  <c r="CM17" i="3" a="1"/>
  <c r="CM17" i="3" s="1"/>
  <c r="CN17" i="3" a="1"/>
  <c r="CN17" i="3" s="1"/>
  <c r="CO17" i="3" a="1"/>
  <c r="CO17" i="3" s="1"/>
  <c r="CL18" i="3" a="1"/>
  <c r="CL18" i="3" s="1"/>
  <c r="CM18" i="3" a="1"/>
  <c r="CM18" i="3" s="1"/>
  <c r="CN18" i="3" a="1"/>
  <c r="CN18" i="3" s="1"/>
  <c r="CO18" i="3" a="1"/>
  <c r="CO18" i="3" s="1"/>
  <c r="CL19" i="3" a="1"/>
  <c r="CL19" i="3" s="1"/>
  <c r="CM19" i="3" a="1"/>
  <c r="CM19" i="3" s="1"/>
  <c r="CN19" i="3" a="1"/>
  <c r="CN19" i="3" s="1"/>
  <c r="CO19" i="3" a="1"/>
  <c r="CO19" i="3" s="1"/>
  <c r="CL20" i="3" a="1"/>
  <c r="CL20" i="3" s="1"/>
  <c r="CM20" i="3" a="1"/>
  <c r="CM20" i="3" s="1"/>
  <c r="CN20" i="3" a="1"/>
  <c r="CN20" i="3" s="1"/>
  <c r="CO20" i="3" a="1"/>
  <c r="CO20" i="3" s="1"/>
  <c r="CL21" i="3" a="1"/>
  <c r="CL21" i="3" s="1"/>
  <c r="CM21" i="3" a="1"/>
  <c r="CM21" i="3" s="1"/>
  <c r="CN21" i="3" a="1"/>
  <c r="CN21" i="3" s="1"/>
  <c r="CO21" i="3" a="1"/>
  <c r="CO21" i="3" s="1"/>
  <c r="CL22" i="3" a="1"/>
  <c r="CL22" i="3" s="1"/>
  <c r="CM22" i="3" a="1"/>
  <c r="CM22" i="3" s="1"/>
  <c r="CN22" i="3" a="1"/>
  <c r="CN22" i="3" s="1"/>
  <c r="CO22" i="3" a="1"/>
  <c r="CO22" i="3" s="1"/>
  <c r="CL23" i="3" a="1"/>
  <c r="CL23" i="3" s="1"/>
  <c r="CM23" i="3" a="1"/>
  <c r="CM23" i="3" s="1"/>
  <c r="CN23" i="3" a="1"/>
  <c r="CN23" i="3" s="1"/>
  <c r="CO23" i="3" a="1"/>
  <c r="CO23" i="3" s="1"/>
  <c r="CL24" i="3" a="1"/>
  <c r="CL24" i="3" s="1"/>
  <c r="CM24" i="3" a="1"/>
  <c r="CM24" i="3" s="1"/>
  <c r="CN24" i="3" a="1"/>
  <c r="CN24" i="3" s="1"/>
  <c r="CO24" i="3" a="1"/>
  <c r="CO24" i="3" s="1"/>
  <c r="CL25" i="3" a="1"/>
  <c r="CL25" i="3" s="1"/>
  <c r="CM25" i="3" a="1"/>
  <c r="CM25" i="3" s="1"/>
  <c r="CN25" i="3" a="1"/>
  <c r="CN25" i="3" s="1"/>
  <c r="CO25" i="3" a="1"/>
  <c r="CO25" i="3" s="1"/>
  <c r="CL26" i="3" a="1"/>
  <c r="CL26" i="3" s="1"/>
  <c r="CM26" i="3" a="1"/>
  <c r="CM26" i="3" s="1"/>
  <c r="CN26" i="3" a="1"/>
  <c r="CN26" i="3" s="1"/>
  <c r="CO26" i="3" a="1"/>
  <c r="CO26" i="3" s="1"/>
  <c r="CL27" i="3" a="1"/>
  <c r="CL27" i="3" s="1"/>
  <c r="CM27" i="3" a="1"/>
  <c r="CM27" i="3" s="1"/>
  <c r="CN27" i="3" a="1"/>
  <c r="CN27" i="3" s="1"/>
  <c r="CO27" i="3" a="1"/>
  <c r="CO27" i="3" s="1"/>
  <c r="CL28" i="3" a="1"/>
  <c r="CL28" i="3" s="1"/>
  <c r="CM28" i="3" a="1"/>
  <c r="CM28" i="3" s="1"/>
  <c r="CN28" i="3" a="1"/>
  <c r="CN28" i="3" s="1"/>
  <c r="CO28" i="3" a="1"/>
  <c r="CO28" i="3" s="1"/>
  <c r="CL29" i="3" a="1"/>
  <c r="CL29" i="3" s="1"/>
  <c r="CM29" i="3" a="1"/>
  <c r="CM29" i="3" s="1"/>
  <c r="CN29" i="3" a="1"/>
  <c r="CN29" i="3" s="1"/>
  <c r="CO29" i="3" a="1"/>
  <c r="CO29" i="3" s="1"/>
  <c r="CL30" i="3" a="1"/>
  <c r="CL30" i="3" s="1"/>
  <c r="CM30" i="3" a="1"/>
  <c r="CM30" i="3" s="1"/>
  <c r="CN30" i="3" a="1"/>
  <c r="CN30" i="3" s="1"/>
  <c r="CO30" i="3" a="1"/>
  <c r="CO30" i="3" s="1"/>
  <c r="CL31" i="3" a="1"/>
  <c r="CL31" i="3" s="1"/>
  <c r="CM31" i="3" a="1"/>
  <c r="CM31" i="3" s="1"/>
  <c r="CN31" i="3" a="1"/>
  <c r="CN31" i="3" s="1"/>
  <c r="CO31" i="3" a="1"/>
  <c r="CO31" i="3" s="1"/>
  <c r="CL32" i="3" a="1"/>
  <c r="CL32" i="3" s="1"/>
  <c r="CM32" i="3" a="1"/>
  <c r="CM32" i="3" s="1"/>
  <c r="CN32" i="3" a="1"/>
  <c r="CN32" i="3" s="1"/>
  <c r="CO32" i="3" a="1"/>
  <c r="CO32" i="3" s="1"/>
  <c r="CL33" i="3" a="1"/>
  <c r="CL33" i="3" s="1"/>
  <c r="CM33" i="3" a="1"/>
  <c r="CM33" i="3" s="1"/>
  <c r="CN33" i="3" a="1"/>
  <c r="CN33" i="3" s="1"/>
  <c r="CO33" i="3" a="1"/>
  <c r="CO33" i="3" s="1"/>
  <c r="CL34" i="3" a="1"/>
  <c r="CL34" i="3" s="1"/>
  <c r="CM34" i="3" a="1"/>
  <c r="CM34" i="3" s="1"/>
  <c r="CN34" i="3" a="1"/>
  <c r="CN34" i="3" s="1"/>
  <c r="CO34" i="3" a="1"/>
  <c r="CO34" i="3" s="1"/>
  <c r="CL35" i="3" a="1"/>
  <c r="CL35" i="3" s="1"/>
  <c r="CM35" i="3" a="1"/>
  <c r="CM35" i="3" s="1"/>
  <c r="CN35" i="3" a="1"/>
  <c r="CN35" i="3" s="1"/>
  <c r="CO35" i="3" a="1"/>
  <c r="CO35" i="3" s="1"/>
  <c r="CL36" i="3" a="1"/>
  <c r="CL36" i="3" s="1"/>
  <c r="CM36" i="3" a="1"/>
  <c r="CM36" i="3" s="1"/>
  <c r="CN36" i="3" a="1"/>
  <c r="CN36" i="3" s="1"/>
  <c r="CO36" i="3" a="1"/>
  <c r="CO36" i="3" s="1"/>
  <c r="CL37" i="3" a="1"/>
  <c r="CL37" i="3" s="1"/>
  <c r="CM37" i="3" a="1"/>
  <c r="CM37" i="3" s="1"/>
  <c r="CN37" i="3" a="1"/>
  <c r="CN37" i="3" s="1"/>
  <c r="CO37" i="3" a="1"/>
  <c r="CO37" i="3" s="1"/>
  <c r="CL38" i="3" a="1"/>
  <c r="CL38" i="3" s="1"/>
  <c r="CM38" i="3" a="1"/>
  <c r="CM38" i="3" s="1"/>
  <c r="CN38" i="3" a="1"/>
  <c r="CN38" i="3" s="1"/>
  <c r="CO38" i="3" a="1"/>
  <c r="CO38" i="3" s="1"/>
  <c r="CL39" i="3" a="1"/>
  <c r="CL39" i="3" s="1"/>
  <c r="CM39" i="3" a="1"/>
  <c r="CM39" i="3" s="1"/>
  <c r="CN39" i="3" a="1"/>
  <c r="CN39" i="3" s="1"/>
  <c r="CO39" i="3" a="1"/>
  <c r="CO39" i="3" s="1"/>
  <c r="CL40" i="3" a="1"/>
  <c r="CL40" i="3" s="1"/>
  <c r="CM40" i="3" a="1"/>
  <c r="CM40" i="3" s="1"/>
  <c r="CN40" i="3" a="1"/>
  <c r="CN40" i="3" s="1"/>
  <c r="CO40" i="3" a="1"/>
  <c r="CO40" i="3" s="1"/>
  <c r="CL41" i="3" a="1"/>
  <c r="CL41" i="3" s="1"/>
  <c r="CM41" i="3" a="1"/>
  <c r="CM41" i="3" s="1"/>
  <c r="CN41" i="3" a="1"/>
  <c r="CN41" i="3" s="1"/>
  <c r="CO41" i="3" a="1"/>
  <c r="CO41" i="3" s="1"/>
  <c r="CL42" i="3" a="1"/>
  <c r="CL42" i="3" s="1"/>
  <c r="CM42" i="3" a="1"/>
  <c r="CM42" i="3" s="1"/>
  <c r="CN42" i="3" a="1"/>
  <c r="CN42" i="3" s="1"/>
  <c r="CO42" i="3" a="1"/>
  <c r="CO42" i="3" s="1"/>
  <c r="CL43" i="3" a="1"/>
  <c r="CL43" i="3" s="1"/>
  <c r="CM43" i="3" a="1"/>
  <c r="CM43" i="3" s="1"/>
  <c r="CN43" i="3" a="1"/>
  <c r="CN43" i="3" s="1"/>
  <c r="CO43" i="3" a="1"/>
  <c r="CO43" i="3" s="1"/>
  <c r="CM2" i="3" a="1"/>
  <c r="CM2" i="3" s="1"/>
  <c r="CN2" i="3" a="1"/>
  <c r="CN2" i="3" s="1"/>
  <c r="CO2" i="3" a="1"/>
  <c r="CO2" i="3" s="1"/>
  <c r="CL2" i="3" a="1"/>
  <c r="CL2" i="3" s="1"/>
  <c r="CG3" i="3" a="1"/>
  <c r="CG3" i="3" s="1"/>
  <c r="CH3" i="3" a="1"/>
  <c r="CH3" i="3" s="1"/>
  <c r="CI3" i="3" a="1"/>
  <c r="CI3" i="3" s="1"/>
  <c r="CJ3" i="3" a="1"/>
  <c r="CJ3" i="3" s="1"/>
  <c r="CG4" i="3" a="1"/>
  <c r="CG4" i="3" s="1"/>
  <c r="CH4" i="3" a="1"/>
  <c r="CH4" i="3" s="1"/>
  <c r="CI4" i="3" a="1"/>
  <c r="CI4" i="3" s="1"/>
  <c r="CJ4" i="3" a="1"/>
  <c r="CJ4" i="3" s="1"/>
  <c r="CG5" i="3" a="1"/>
  <c r="CG5" i="3" s="1"/>
  <c r="CH5" i="3" a="1"/>
  <c r="CH5" i="3" s="1"/>
  <c r="CI5" i="3" a="1"/>
  <c r="CI5" i="3" s="1"/>
  <c r="CJ5" i="3" a="1"/>
  <c r="CJ5" i="3" s="1"/>
  <c r="CG6" i="3" a="1"/>
  <c r="CG6" i="3" s="1"/>
  <c r="CH6" i="3" a="1"/>
  <c r="CH6" i="3" s="1"/>
  <c r="CI6" i="3" a="1"/>
  <c r="CI6" i="3" s="1"/>
  <c r="CJ6" i="3" a="1"/>
  <c r="CJ6" i="3" s="1"/>
  <c r="CG7" i="3" a="1"/>
  <c r="CG7" i="3" s="1"/>
  <c r="CH7" i="3" a="1"/>
  <c r="CH7" i="3" s="1"/>
  <c r="CI7" i="3" a="1"/>
  <c r="CI7" i="3" s="1"/>
  <c r="CJ7" i="3" a="1"/>
  <c r="CJ7" i="3" s="1"/>
  <c r="CG8" i="3" a="1"/>
  <c r="CG8" i="3" s="1"/>
  <c r="CH8" i="3" a="1"/>
  <c r="CH8" i="3" s="1"/>
  <c r="CI8" i="3" a="1"/>
  <c r="CI8" i="3" s="1"/>
  <c r="CJ8" i="3" a="1"/>
  <c r="CJ8" i="3" s="1"/>
  <c r="CG9" i="3" a="1"/>
  <c r="CG9" i="3" s="1"/>
  <c r="CH9" i="3" a="1"/>
  <c r="CH9" i="3" s="1"/>
  <c r="CI9" i="3" a="1"/>
  <c r="CI9" i="3" s="1"/>
  <c r="CJ9" i="3" a="1"/>
  <c r="CJ9" i="3" s="1"/>
  <c r="CG10" i="3" a="1"/>
  <c r="CG10" i="3" s="1"/>
  <c r="CH10" i="3" a="1"/>
  <c r="CH10" i="3" s="1"/>
  <c r="CI10" i="3" a="1"/>
  <c r="CI10" i="3" s="1"/>
  <c r="CJ10" i="3" a="1"/>
  <c r="CJ10" i="3" s="1"/>
  <c r="CG11" i="3" a="1"/>
  <c r="CG11" i="3" s="1"/>
  <c r="CH11" i="3" a="1"/>
  <c r="CH11" i="3" s="1"/>
  <c r="CI11" i="3" a="1"/>
  <c r="CI11" i="3" s="1"/>
  <c r="CJ11" i="3" a="1"/>
  <c r="CJ11" i="3" s="1"/>
  <c r="CG12" i="3" a="1"/>
  <c r="CG12" i="3" s="1"/>
  <c r="CH12" i="3" a="1"/>
  <c r="CH12" i="3" s="1"/>
  <c r="CI12" i="3" a="1"/>
  <c r="CI12" i="3" s="1"/>
  <c r="CJ12" i="3" a="1"/>
  <c r="CJ12" i="3" s="1"/>
  <c r="CG13" i="3" a="1"/>
  <c r="CG13" i="3" s="1"/>
  <c r="CH13" i="3" a="1"/>
  <c r="CH13" i="3" s="1"/>
  <c r="CI13" i="3" a="1"/>
  <c r="CI13" i="3" s="1"/>
  <c r="CJ13" i="3" a="1"/>
  <c r="CJ13" i="3" s="1"/>
  <c r="CG14" i="3" a="1"/>
  <c r="CG14" i="3" s="1"/>
  <c r="CH14" i="3" a="1"/>
  <c r="CH14" i="3" s="1"/>
  <c r="CI14" i="3" a="1"/>
  <c r="CI14" i="3" s="1"/>
  <c r="CJ14" i="3" a="1"/>
  <c r="CJ14" i="3" s="1"/>
  <c r="CG15" i="3" a="1"/>
  <c r="CG15" i="3" s="1"/>
  <c r="CH15" i="3" a="1"/>
  <c r="CH15" i="3" s="1"/>
  <c r="CI15" i="3" a="1"/>
  <c r="CI15" i="3" s="1"/>
  <c r="CJ15" i="3" a="1"/>
  <c r="CJ15" i="3" s="1"/>
  <c r="CG16" i="3" a="1"/>
  <c r="CG16" i="3" s="1"/>
  <c r="CH16" i="3" a="1"/>
  <c r="CH16" i="3" s="1"/>
  <c r="CI16" i="3" a="1"/>
  <c r="CI16" i="3" s="1"/>
  <c r="CJ16" i="3" a="1"/>
  <c r="CJ16" i="3" s="1"/>
  <c r="CG17" i="3" a="1"/>
  <c r="CG17" i="3" s="1"/>
  <c r="CH17" i="3" a="1"/>
  <c r="CH17" i="3" s="1"/>
  <c r="CI17" i="3" a="1"/>
  <c r="CI17" i="3" s="1"/>
  <c r="CJ17" i="3" a="1"/>
  <c r="CJ17" i="3" s="1"/>
  <c r="CG18" i="3" a="1"/>
  <c r="CG18" i="3" s="1"/>
  <c r="CH18" i="3" a="1"/>
  <c r="CH18" i="3" s="1"/>
  <c r="CI18" i="3" a="1"/>
  <c r="CI18" i="3" s="1"/>
  <c r="CJ18" i="3" a="1"/>
  <c r="CJ18" i="3" s="1"/>
  <c r="CG19" i="3" a="1"/>
  <c r="CG19" i="3" s="1"/>
  <c r="CH19" i="3" a="1"/>
  <c r="CH19" i="3" s="1"/>
  <c r="CI19" i="3" a="1"/>
  <c r="CI19" i="3" s="1"/>
  <c r="CJ19" i="3" a="1"/>
  <c r="CJ19" i="3" s="1"/>
  <c r="CG20" i="3" a="1"/>
  <c r="CG20" i="3" s="1"/>
  <c r="CH20" i="3" a="1"/>
  <c r="CH20" i="3" s="1"/>
  <c r="CI20" i="3" a="1"/>
  <c r="CI20" i="3" s="1"/>
  <c r="CJ20" i="3" a="1"/>
  <c r="CJ20" i="3" s="1"/>
  <c r="CG21" i="3" a="1"/>
  <c r="CG21" i="3" s="1"/>
  <c r="CH21" i="3" a="1"/>
  <c r="CH21" i="3" s="1"/>
  <c r="CI21" i="3" a="1"/>
  <c r="CI21" i="3" s="1"/>
  <c r="CJ21" i="3" a="1"/>
  <c r="CJ21" i="3" s="1"/>
  <c r="CG22" i="3" a="1"/>
  <c r="CG22" i="3" s="1"/>
  <c r="CH22" i="3" a="1"/>
  <c r="CH22" i="3" s="1"/>
  <c r="CI22" i="3" a="1"/>
  <c r="CI22" i="3" s="1"/>
  <c r="CJ22" i="3" a="1"/>
  <c r="CJ22" i="3" s="1"/>
  <c r="CG23" i="3" a="1"/>
  <c r="CG23" i="3" s="1"/>
  <c r="CH23" i="3" a="1"/>
  <c r="CH23" i="3" s="1"/>
  <c r="CI23" i="3" a="1"/>
  <c r="CI23" i="3" s="1"/>
  <c r="CJ23" i="3" a="1"/>
  <c r="CJ23" i="3" s="1"/>
  <c r="CG24" i="3" a="1"/>
  <c r="CG24" i="3" s="1"/>
  <c r="CH24" i="3" a="1"/>
  <c r="CH24" i="3" s="1"/>
  <c r="CI24" i="3" a="1"/>
  <c r="CI24" i="3" s="1"/>
  <c r="CJ24" i="3" a="1"/>
  <c r="CJ24" i="3" s="1"/>
  <c r="CG25" i="3" a="1"/>
  <c r="CG25" i="3" s="1"/>
  <c r="CH25" i="3" a="1"/>
  <c r="CH25" i="3" s="1"/>
  <c r="CI25" i="3" a="1"/>
  <c r="CI25" i="3" s="1"/>
  <c r="CJ25" i="3" a="1"/>
  <c r="CJ25" i="3" s="1"/>
  <c r="CG26" i="3" a="1"/>
  <c r="CG26" i="3" s="1"/>
  <c r="CH26" i="3" a="1"/>
  <c r="CH26" i="3" s="1"/>
  <c r="CI26" i="3" a="1"/>
  <c r="CI26" i="3" s="1"/>
  <c r="CJ26" i="3" a="1"/>
  <c r="CJ26" i="3" s="1"/>
  <c r="CG27" i="3" a="1"/>
  <c r="CG27" i="3" s="1"/>
  <c r="CH27" i="3" a="1"/>
  <c r="CH27" i="3" s="1"/>
  <c r="CI27" i="3" a="1"/>
  <c r="CI27" i="3" s="1"/>
  <c r="CJ27" i="3" a="1"/>
  <c r="CJ27" i="3" s="1"/>
  <c r="CG28" i="3" a="1"/>
  <c r="CG28" i="3" s="1"/>
  <c r="CH28" i="3" a="1"/>
  <c r="CH28" i="3" s="1"/>
  <c r="CI28" i="3" a="1"/>
  <c r="CI28" i="3" s="1"/>
  <c r="CJ28" i="3" a="1"/>
  <c r="CJ28" i="3" s="1"/>
  <c r="CG29" i="3" a="1"/>
  <c r="CG29" i="3" s="1"/>
  <c r="CH29" i="3" a="1"/>
  <c r="CH29" i="3" s="1"/>
  <c r="CI29" i="3" a="1"/>
  <c r="CI29" i="3" s="1"/>
  <c r="CJ29" i="3" a="1"/>
  <c r="CJ29" i="3" s="1"/>
  <c r="CG30" i="3" a="1"/>
  <c r="CG30" i="3" s="1"/>
  <c r="CH30" i="3" a="1"/>
  <c r="CH30" i="3" s="1"/>
  <c r="CI30" i="3" a="1"/>
  <c r="CI30" i="3" s="1"/>
  <c r="CJ30" i="3" a="1"/>
  <c r="CJ30" i="3" s="1"/>
  <c r="CG31" i="3" a="1"/>
  <c r="CG31" i="3" s="1"/>
  <c r="CH31" i="3" a="1"/>
  <c r="CH31" i="3" s="1"/>
  <c r="CI31" i="3" a="1"/>
  <c r="CI31" i="3" s="1"/>
  <c r="CJ31" i="3" a="1"/>
  <c r="CJ31" i="3" s="1"/>
  <c r="CG32" i="3" a="1"/>
  <c r="CG32" i="3" s="1"/>
  <c r="CH32" i="3" a="1"/>
  <c r="CH32" i="3" s="1"/>
  <c r="CI32" i="3" a="1"/>
  <c r="CI32" i="3" s="1"/>
  <c r="CJ32" i="3" a="1"/>
  <c r="CJ32" i="3" s="1"/>
  <c r="CG33" i="3" a="1"/>
  <c r="CG33" i="3" s="1"/>
  <c r="CH33" i="3" a="1"/>
  <c r="CH33" i="3" s="1"/>
  <c r="CI33" i="3" a="1"/>
  <c r="CI33" i="3" s="1"/>
  <c r="CJ33" i="3" a="1"/>
  <c r="CJ33" i="3" s="1"/>
  <c r="CG34" i="3" a="1"/>
  <c r="CG34" i="3" s="1"/>
  <c r="CH34" i="3" a="1"/>
  <c r="CH34" i="3" s="1"/>
  <c r="CI34" i="3" a="1"/>
  <c r="CI34" i="3" s="1"/>
  <c r="CJ34" i="3" a="1"/>
  <c r="CJ34" i="3" s="1"/>
  <c r="CG35" i="3" a="1"/>
  <c r="CG35" i="3" s="1"/>
  <c r="CH35" i="3" a="1"/>
  <c r="CH35" i="3" s="1"/>
  <c r="CI35" i="3" a="1"/>
  <c r="CI35" i="3" s="1"/>
  <c r="CJ35" i="3" a="1"/>
  <c r="CJ35" i="3" s="1"/>
  <c r="CG36" i="3" a="1"/>
  <c r="CG36" i="3" s="1"/>
  <c r="CH36" i="3" a="1"/>
  <c r="CH36" i="3" s="1"/>
  <c r="CI36" i="3" a="1"/>
  <c r="CI36" i="3" s="1"/>
  <c r="CJ36" i="3" a="1"/>
  <c r="CJ36" i="3" s="1"/>
  <c r="CG37" i="3" a="1"/>
  <c r="CG37" i="3" s="1"/>
  <c r="CH37" i="3" a="1"/>
  <c r="CH37" i="3" s="1"/>
  <c r="CI37" i="3" a="1"/>
  <c r="CI37" i="3" s="1"/>
  <c r="CJ37" i="3" a="1"/>
  <c r="CJ37" i="3" s="1"/>
  <c r="CG38" i="3" a="1"/>
  <c r="CG38" i="3" s="1"/>
  <c r="CH38" i="3" a="1"/>
  <c r="CH38" i="3" s="1"/>
  <c r="CI38" i="3" a="1"/>
  <c r="CI38" i="3" s="1"/>
  <c r="CJ38" i="3" a="1"/>
  <c r="CJ38" i="3" s="1"/>
  <c r="CG39" i="3" a="1"/>
  <c r="CG39" i="3" s="1"/>
  <c r="CH39" i="3" a="1"/>
  <c r="CH39" i="3" s="1"/>
  <c r="CI39" i="3" a="1"/>
  <c r="CI39" i="3" s="1"/>
  <c r="CJ39" i="3" a="1"/>
  <c r="CJ39" i="3" s="1"/>
  <c r="CG40" i="3" a="1"/>
  <c r="CG40" i="3" s="1"/>
  <c r="CH40" i="3" a="1"/>
  <c r="CH40" i="3" s="1"/>
  <c r="CI40" i="3" a="1"/>
  <c r="CI40" i="3" s="1"/>
  <c r="CJ40" i="3" a="1"/>
  <c r="CJ40" i="3" s="1"/>
  <c r="CG41" i="3" a="1"/>
  <c r="CG41" i="3" s="1"/>
  <c r="CH41" i="3" a="1"/>
  <c r="CH41" i="3" s="1"/>
  <c r="CI41" i="3" a="1"/>
  <c r="CI41" i="3" s="1"/>
  <c r="CJ41" i="3" a="1"/>
  <c r="CJ41" i="3" s="1"/>
  <c r="CG42" i="3" a="1"/>
  <c r="CG42" i="3" s="1"/>
  <c r="CH42" i="3" a="1"/>
  <c r="CH42" i="3" s="1"/>
  <c r="CI42" i="3" a="1"/>
  <c r="CI42" i="3" s="1"/>
  <c r="CJ42" i="3" a="1"/>
  <c r="CJ42" i="3" s="1"/>
  <c r="CG43" i="3" a="1"/>
  <c r="CG43" i="3" s="1"/>
  <c r="CH43" i="3" a="1"/>
  <c r="CH43" i="3" s="1"/>
  <c r="CI43" i="3" a="1"/>
  <c r="CI43" i="3" s="1"/>
  <c r="CJ43" i="3" a="1"/>
  <c r="CJ43" i="3" s="1"/>
  <c r="CH2" i="3" a="1"/>
  <c r="CH2" i="3" s="1"/>
  <c r="CI2" i="3" a="1"/>
  <c r="CI2" i="3" s="1"/>
  <c r="CJ2" i="3" a="1"/>
  <c r="CJ2" i="3" s="1"/>
  <c r="CG2" i="3" a="1"/>
  <c r="CG2" i="3" s="1"/>
  <c r="BH3" i="3" a="1"/>
  <c r="BH3" i="3" s="1"/>
  <c r="BI3" i="3" a="1"/>
  <c r="BI3" i="3" s="1"/>
  <c r="BJ3" i="3" a="1"/>
  <c r="BJ3" i="3" s="1"/>
  <c r="BK3" i="3" a="1"/>
  <c r="BK3" i="3" s="1"/>
  <c r="BH4" i="3" a="1"/>
  <c r="BH4" i="3" s="1"/>
  <c r="BI4" i="3" a="1"/>
  <c r="BI4" i="3" s="1"/>
  <c r="BJ4" i="3" a="1"/>
  <c r="BJ4" i="3" s="1"/>
  <c r="BK4" i="3" a="1"/>
  <c r="BK4" i="3" s="1"/>
  <c r="BH5" i="3" a="1"/>
  <c r="BH5" i="3" s="1"/>
  <c r="BI5" i="3" a="1"/>
  <c r="BI5" i="3" s="1"/>
  <c r="BJ5" i="3" a="1"/>
  <c r="BJ5" i="3" s="1"/>
  <c r="BK5" i="3" a="1"/>
  <c r="BK5" i="3" s="1"/>
  <c r="BH6" i="3" a="1"/>
  <c r="BH6" i="3" s="1"/>
  <c r="BI6" i="3" a="1"/>
  <c r="BI6" i="3" s="1"/>
  <c r="BJ6" i="3" a="1"/>
  <c r="BJ6" i="3" s="1"/>
  <c r="BK6" i="3" a="1"/>
  <c r="BK6" i="3" s="1"/>
  <c r="BH7" i="3" a="1"/>
  <c r="BH7" i="3" s="1"/>
  <c r="BI7" i="3" a="1"/>
  <c r="BI7" i="3" s="1"/>
  <c r="BJ7" i="3" a="1"/>
  <c r="BJ7" i="3" s="1"/>
  <c r="BK7" i="3" a="1"/>
  <c r="BK7" i="3" s="1"/>
  <c r="BH8" i="3" a="1"/>
  <c r="BH8" i="3"/>
  <c r="BI8" i="3" a="1"/>
  <c r="BI8" i="3" s="1"/>
  <c r="BJ8" i="3" a="1"/>
  <c r="BJ8" i="3" s="1"/>
  <c r="BK8" i="3" a="1"/>
  <c r="BK8" i="3" s="1"/>
  <c r="BH9" i="3" a="1"/>
  <c r="BH9" i="3" s="1"/>
  <c r="BI9" i="3" a="1"/>
  <c r="BI9" i="3" s="1"/>
  <c r="BJ9" i="3" a="1"/>
  <c r="BJ9" i="3" s="1"/>
  <c r="BK9" i="3" a="1"/>
  <c r="BK9" i="3" s="1"/>
  <c r="BH10" i="3" a="1"/>
  <c r="BH10" i="3" s="1"/>
  <c r="BI10" i="3" a="1"/>
  <c r="BI10" i="3" s="1"/>
  <c r="BJ10" i="3" a="1"/>
  <c r="BJ10" i="3" s="1"/>
  <c r="BK10" i="3" a="1"/>
  <c r="BK10" i="3" s="1"/>
  <c r="BH11" i="3" a="1"/>
  <c r="BH11" i="3" s="1"/>
  <c r="BI11" i="3" a="1"/>
  <c r="BI11" i="3" s="1"/>
  <c r="BJ11" i="3" a="1"/>
  <c r="BJ11" i="3" s="1"/>
  <c r="BK11" i="3" a="1"/>
  <c r="BK11" i="3" s="1"/>
  <c r="BH12" i="3" a="1"/>
  <c r="BH12" i="3" s="1"/>
  <c r="BI12" i="3" a="1"/>
  <c r="BI12" i="3" s="1"/>
  <c r="BJ12" i="3" a="1"/>
  <c r="BJ12" i="3" s="1"/>
  <c r="BK12" i="3" a="1"/>
  <c r="BK12" i="3" s="1"/>
  <c r="BH13" i="3" a="1"/>
  <c r="BH13" i="3" s="1"/>
  <c r="BI13" i="3" a="1"/>
  <c r="BI13" i="3" s="1"/>
  <c r="BJ13" i="3" a="1"/>
  <c r="BJ13" i="3" s="1"/>
  <c r="BK13" i="3" a="1"/>
  <c r="BK13" i="3" s="1"/>
  <c r="BH14" i="3" a="1"/>
  <c r="BH14" i="3" s="1"/>
  <c r="BI14" i="3" a="1"/>
  <c r="BI14" i="3" s="1"/>
  <c r="BJ14" i="3" a="1"/>
  <c r="BJ14" i="3" s="1"/>
  <c r="BK14" i="3" a="1"/>
  <c r="BK14" i="3" s="1"/>
  <c r="BH15" i="3" a="1"/>
  <c r="BH15" i="3" s="1"/>
  <c r="BI15" i="3" a="1"/>
  <c r="BI15" i="3" s="1"/>
  <c r="BJ15" i="3" a="1"/>
  <c r="BJ15" i="3" s="1"/>
  <c r="BK15" i="3" a="1"/>
  <c r="BK15" i="3" s="1"/>
  <c r="BH16" i="3" a="1"/>
  <c r="BH16" i="3"/>
  <c r="BI16" i="3" a="1"/>
  <c r="BI16" i="3" s="1"/>
  <c r="BJ16" i="3" a="1"/>
  <c r="BJ16" i="3" s="1"/>
  <c r="BK16" i="3" a="1"/>
  <c r="BK16" i="3" s="1"/>
  <c r="BH17" i="3" a="1"/>
  <c r="BH17" i="3" s="1"/>
  <c r="BI17" i="3" a="1"/>
  <c r="BI17" i="3" s="1"/>
  <c r="BJ17" i="3" a="1"/>
  <c r="BJ17" i="3" s="1"/>
  <c r="BK17" i="3" a="1"/>
  <c r="BK17" i="3" s="1"/>
  <c r="BH18" i="3" a="1"/>
  <c r="BH18" i="3" s="1"/>
  <c r="BI18" i="3" a="1"/>
  <c r="BI18" i="3" s="1"/>
  <c r="BJ18" i="3" a="1"/>
  <c r="BJ18" i="3" s="1"/>
  <c r="BK18" i="3" a="1"/>
  <c r="BK18" i="3" s="1"/>
  <c r="BH19" i="3" a="1"/>
  <c r="BH19" i="3" s="1"/>
  <c r="BI19" i="3" a="1"/>
  <c r="BI19" i="3" s="1"/>
  <c r="BJ19" i="3" a="1"/>
  <c r="BJ19" i="3" s="1"/>
  <c r="BK19" i="3" a="1"/>
  <c r="BK19" i="3" s="1"/>
  <c r="BH20" i="3" a="1"/>
  <c r="BH20" i="3" s="1"/>
  <c r="BI20" i="3" a="1"/>
  <c r="BI20" i="3" s="1"/>
  <c r="BJ20" i="3" a="1"/>
  <c r="BJ20" i="3" s="1"/>
  <c r="BK20" i="3" a="1"/>
  <c r="BK20" i="3" s="1"/>
  <c r="BH21" i="3" a="1"/>
  <c r="BH21" i="3" s="1"/>
  <c r="BI21" i="3" a="1"/>
  <c r="BI21" i="3" s="1"/>
  <c r="BJ21" i="3" a="1"/>
  <c r="BJ21" i="3" s="1"/>
  <c r="BK21" i="3" a="1"/>
  <c r="BK21" i="3" s="1"/>
  <c r="BH22" i="3" a="1"/>
  <c r="BH22" i="3" s="1"/>
  <c r="BI22" i="3" a="1"/>
  <c r="BI22" i="3" s="1"/>
  <c r="BJ22" i="3" a="1"/>
  <c r="BJ22" i="3" s="1"/>
  <c r="BK22" i="3" a="1"/>
  <c r="BK22" i="3" s="1"/>
  <c r="BH23" i="3" a="1"/>
  <c r="BH23" i="3" s="1"/>
  <c r="BI23" i="3" a="1"/>
  <c r="BI23" i="3" s="1"/>
  <c r="BJ23" i="3" a="1"/>
  <c r="BJ23" i="3" s="1"/>
  <c r="BK23" i="3" a="1"/>
  <c r="BK23" i="3" s="1"/>
  <c r="BH24" i="3" a="1"/>
  <c r="BH24" i="3"/>
  <c r="BI24" i="3" a="1"/>
  <c r="BI24" i="3" s="1"/>
  <c r="BJ24" i="3" a="1"/>
  <c r="BJ24" i="3" s="1"/>
  <c r="BK24" i="3" a="1"/>
  <c r="BK24" i="3" s="1"/>
  <c r="BH25" i="3" a="1"/>
  <c r="BH25" i="3" s="1"/>
  <c r="BI25" i="3" a="1"/>
  <c r="BI25" i="3" s="1"/>
  <c r="BJ25" i="3" a="1"/>
  <c r="BJ25" i="3" s="1"/>
  <c r="BK25" i="3" a="1"/>
  <c r="BK25" i="3" s="1"/>
  <c r="BH26" i="3" a="1"/>
  <c r="BH26" i="3" s="1"/>
  <c r="BI26" i="3" a="1"/>
  <c r="BI26" i="3" s="1"/>
  <c r="BJ26" i="3" a="1"/>
  <c r="BJ26" i="3" s="1"/>
  <c r="BK26" i="3" a="1"/>
  <c r="BK26" i="3" s="1"/>
  <c r="BH27" i="3" a="1"/>
  <c r="BH27" i="3" s="1"/>
  <c r="BI27" i="3" a="1"/>
  <c r="BI27" i="3" s="1"/>
  <c r="BJ27" i="3" a="1"/>
  <c r="BJ27" i="3" s="1"/>
  <c r="BK27" i="3" a="1"/>
  <c r="BK27" i="3" s="1"/>
  <c r="BH28" i="3" a="1"/>
  <c r="BH28" i="3" s="1"/>
  <c r="BI28" i="3" a="1"/>
  <c r="BI28" i="3" s="1"/>
  <c r="BJ28" i="3" a="1"/>
  <c r="BJ28" i="3" s="1"/>
  <c r="BK28" i="3" a="1"/>
  <c r="BK28" i="3" s="1"/>
  <c r="BH29" i="3" a="1"/>
  <c r="BH29" i="3" s="1"/>
  <c r="BI29" i="3" a="1"/>
  <c r="BI29" i="3" s="1"/>
  <c r="BJ29" i="3" a="1"/>
  <c r="BJ29" i="3" s="1"/>
  <c r="BK29" i="3" a="1"/>
  <c r="BK29" i="3" s="1"/>
  <c r="BH30" i="3" a="1"/>
  <c r="BH30" i="3" s="1"/>
  <c r="BI30" i="3" a="1"/>
  <c r="BI30" i="3" s="1"/>
  <c r="BJ30" i="3" a="1"/>
  <c r="BJ30" i="3" s="1"/>
  <c r="BK30" i="3" a="1"/>
  <c r="BK30" i="3" s="1"/>
  <c r="BH31" i="3" a="1"/>
  <c r="BH31" i="3" s="1"/>
  <c r="BI31" i="3" a="1"/>
  <c r="BI31" i="3" s="1"/>
  <c r="BJ31" i="3" a="1"/>
  <c r="BJ31" i="3" s="1"/>
  <c r="BK31" i="3" a="1"/>
  <c r="BK31" i="3" s="1"/>
  <c r="BH32" i="3" a="1"/>
  <c r="BH32" i="3" s="1"/>
  <c r="BI32" i="3" a="1"/>
  <c r="BI32" i="3" s="1"/>
  <c r="BJ32" i="3" a="1"/>
  <c r="BJ32" i="3" s="1"/>
  <c r="BK32" i="3" a="1"/>
  <c r="BK32" i="3" s="1"/>
  <c r="BH33" i="3" a="1"/>
  <c r="BH33" i="3" s="1"/>
  <c r="BI33" i="3" a="1"/>
  <c r="BI33" i="3" s="1"/>
  <c r="BJ33" i="3" a="1"/>
  <c r="BJ33" i="3" s="1"/>
  <c r="BK33" i="3" a="1"/>
  <c r="BK33" i="3" s="1"/>
  <c r="BH34" i="3" a="1"/>
  <c r="BH34" i="3" s="1"/>
  <c r="BI34" i="3" a="1"/>
  <c r="BI34" i="3" s="1"/>
  <c r="BJ34" i="3" a="1"/>
  <c r="BJ34" i="3" s="1"/>
  <c r="BK34" i="3" a="1"/>
  <c r="BK34" i="3" s="1"/>
  <c r="BH35" i="3" a="1"/>
  <c r="BH35" i="3" s="1"/>
  <c r="BI35" i="3" a="1"/>
  <c r="BI35" i="3" s="1"/>
  <c r="BJ35" i="3" a="1"/>
  <c r="BJ35" i="3" s="1"/>
  <c r="BK35" i="3" a="1"/>
  <c r="BK35" i="3" s="1"/>
  <c r="BH36" i="3" a="1"/>
  <c r="BH36" i="3" s="1"/>
  <c r="BI36" i="3" a="1"/>
  <c r="BI36" i="3" s="1"/>
  <c r="BJ36" i="3" a="1"/>
  <c r="BJ36" i="3" s="1"/>
  <c r="BK36" i="3" a="1"/>
  <c r="BK36" i="3" s="1"/>
  <c r="BH37" i="3" a="1"/>
  <c r="BH37" i="3" s="1"/>
  <c r="BI37" i="3" a="1"/>
  <c r="BI37" i="3" s="1"/>
  <c r="BJ37" i="3" a="1"/>
  <c r="BJ37" i="3" s="1"/>
  <c r="BK37" i="3" a="1"/>
  <c r="BK37" i="3" s="1"/>
  <c r="BH38" i="3" a="1"/>
  <c r="BH38" i="3" s="1"/>
  <c r="BI38" i="3" a="1"/>
  <c r="BI38" i="3" s="1"/>
  <c r="BJ38" i="3" a="1"/>
  <c r="BJ38" i="3" s="1"/>
  <c r="BK38" i="3" a="1"/>
  <c r="BK38" i="3" s="1"/>
  <c r="BH39" i="3" a="1"/>
  <c r="BH39" i="3" s="1"/>
  <c r="BI39" i="3" a="1"/>
  <c r="BI39" i="3" s="1"/>
  <c r="BJ39" i="3" a="1"/>
  <c r="BJ39" i="3" s="1"/>
  <c r="BK39" i="3" a="1"/>
  <c r="BK39" i="3" s="1"/>
  <c r="BH40" i="3" a="1"/>
  <c r="BH40" i="3" s="1"/>
  <c r="BI40" i="3" a="1"/>
  <c r="BI40" i="3" s="1"/>
  <c r="BJ40" i="3" a="1"/>
  <c r="BJ40" i="3" s="1"/>
  <c r="BK40" i="3" a="1"/>
  <c r="BK40" i="3" s="1"/>
  <c r="BH41" i="3" a="1"/>
  <c r="BH41" i="3" s="1"/>
  <c r="BI41" i="3" a="1"/>
  <c r="BI41" i="3" s="1"/>
  <c r="BJ41" i="3" a="1"/>
  <c r="BJ41" i="3" s="1"/>
  <c r="BK41" i="3" a="1"/>
  <c r="BK41" i="3" s="1"/>
  <c r="BH42" i="3" a="1"/>
  <c r="BH42" i="3" s="1"/>
  <c r="BI42" i="3" a="1"/>
  <c r="BI42" i="3" s="1"/>
  <c r="BJ42" i="3" a="1"/>
  <c r="BJ42" i="3" s="1"/>
  <c r="BK42" i="3" a="1"/>
  <c r="BK42" i="3" s="1"/>
  <c r="BH43" i="3" a="1"/>
  <c r="BH43" i="3" s="1"/>
  <c r="BI43" i="3" a="1"/>
  <c r="BI43" i="3" s="1"/>
  <c r="BJ43" i="3" a="1"/>
  <c r="BJ43" i="3" s="1"/>
  <c r="BK43" i="3" a="1"/>
  <c r="BK43" i="3" s="1"/>
  <c r="BI2" i="3" a="1"/>
  <c r="BI2" i="3" s="1"/>
  <c r="BJ2" i="3" a="1"/>
  <c r="BJ2" i="3" s="1"/>
  <c r="BK2" i="3" a="1"/>
  <c r="BK2" i="3" s="1"/>
  <c r="BH2" i="3" a="1"/>
  <c r="BH2" i="3" s="1"/>
  <c r="BC2" i="3" a="1"/>
  <c r="BC2" i="3" s="1"/>
  <c r="BD2" i="3" a="1"/>
  <c r="BD2" i="3" s="1"/>
  <c r="BE2" i="3" a="1"/>
  <c r="BE2" i="3" s="1"/>
  <c r="BF2" i="3" a="1"/>
  <c r="BF2" i="3" s="1"/>
  <c r="BD3" i="3" a="1"/>
  <c r="BD3" i="3" s="1"/>
  <c r="BE3" i="3" a="1"/>
  <c r="BE3" i="3" s="1"/>
  <c r="BF3" i="3" a="1"/>
  <c r="BF3" i="3" s="1"/>
  <c r="BD4" i="3" a="1"/>
  <c r="BD4" i="3" s="1"/>
  <c r="BE4" i="3" a="1"/>
  <c r="BE4" i="3" s="1"/>
  <c r="BF4" i="3" a="1"/>
  <c r="BF4" i="3" s="1"/>
  <c r="BD5" i="3" a="1"/>
  <c r="BD5" i="3" s="1"/>
  <c r="BE5" i="3" a="1"/>
  <c r="BE5" i="3" s="1"/>
  <c r="BF5" i="3" a="1"/>
  <c r="BF5" i="3" s="1"/>
  <c r="BD6" i="3" a="1"/>
  <c r="BD6" i="3" s="1"/>
  <c r="BE6" i="3" a="1"/>
  <c r="BE6" i="3" s="1"/>
  <c r="BF6" i="3" a="1"/>
  <c r="BF6" i="3" s="1"/>
  <c r="BD7" i="3" a="1"/>
  <c r="BD7" i="3" s="1"/>
  <c r="BE7" i="3" a="1"/>
  <c r="BE7" i="3" s="1"/>
  <c r="BF7" i="3" a="1"/>
  <c r="BF7" i="3" s="1"/>
  <c r="BD8" i="3" a="1"/>
  <c r="BD8" i="3" s="1"/>
  <c r="BE8" i="3" a="1"/>
  <c r="BE8" i="3" s="1"/>
  <c r="BF8" i="3" a="1"/>
  <c r="BF8" i="3" s="1"/>
  <c r="BD9" i="3" a="1"/>
  <c r="BD9" i="3" s="1"/>
  <c r="BE9" i="3" a="1"/>
  <c r="BE9" i="3" s="1"/>
  <c r="BF9" i="3" a="1"/>
  <c r="BF9" i="3" s="1"/>
  <c r="BD10" i="3" a="1"/>
  <c r="BD10" i="3" s="1"/>
  <c r="BE10" i="3" a="1"/>
  <c r="BE10" i="3" s="1"/>
  <c r="BF10" i="3" a="1"/>
  <c r="BF10" i="3" s="1"/>
  <c r="BD11" i="3" a="1"/>
  <c r="BD11" i="3" s="1"/>
  <c r="BE11" i="3" a="1"/>
  <c r="BE11" i="3" s="1"/>
  <c r="BF11" i="3" a="1"/>
  <c r="BF11" i="3" s="1"/>
  <c r="BD12" i="3" a="1"/>
  <c r="BD12" i="3" s="1"/>
  <c r="BE12" i="3" a="1"/>
  <c r="BE12" i="3" s="1"/>
  <c r="BF12" i="3" a="1"/>
  <c r="BF12" i="3" s="1"/>
  <c r="BD13" i="3" a="1"/>
  <c r="BD13" i="3" s="1"/>
  <c r="BE13" i="3" a="1"/>
  <c r="BE13" i="3" s="1"/>
  <c r="BF13" i="3" a="1"/>
  <c r="BF13" i="3" s="1"/>
  <c r="BD14" i="3" a="1"/>
  <c r="BD14" i="3" s="1"/>
  <c r="BE14" i="3" a="1"/>
  <c r="BE14" i="3" s="1"/>
  <c r="BF14" i="3" a="1"/>
  <c r="BF14" i="3" s="1"/>
  <c r="BD15" i="3" a="1"/>
  <c r="BD15" i="3" s="1"/>
  <c r="BE15" i="3" a="1"/>
  <c r="BE15" i="3" s="1"/>
  <c r="BF15" i="3" a="1"/>
  <c r="BF15" i="3" s="1"/>
  <c r="BD16" i="3" a="1"/>
  <c r="BD16" i="3" s="1"/>
  <c r="BE16" i="3" a="1"/>
  <c r="BE16" i="3" s="1"/>
  <c r="BF16" i="3" a="1"/>
  <c r="BF16" i="3" s="1"/>
  <c r="BD17" i="3" a="1"/>
  <c r="BD17" i="3" s="1"/>
  <c r="BE17" i="3" a="1"/>
  <c r="BE17" i="3" s="1"/>
  <c r="BF17" i="3" a="1"/>
  <c r="BF17" i="3" s="1"/>
  <c r="BD18" i="3" a="1"/>
  <c r="BD18" i="3" s="1"/>
  <c r="BE18" i="3" a="1"/>
  <c r="BE18" i="3" s="1"/>
  <c r="BF18" i="3" a="1"/>
  <c r="BF18" i="3" s="1"/>
  <c r="BD19" i="3" a="1"/>
  <c r="BD19" i="3" s="1"/>
  <c r="BE19" i="3" a="1"/>
  <c r="BE19" i="3" s="1"/>
  <c r="BF19" i="3" a="1"/>
  <c r="BF19" i="3" s="1"/>
  <c r="BD20" i="3" a="1"/>
  <c r="BD20" i="3" s="1"/>
  <c r="BE20" i="3" a="1"/>
  <c r="BE20" i="3" s="1"/>
  <c r="BF20" i="3" a="1"/>
  <c r="BF20" i="3" s="1"/>
  <c r="BD21" i="3" a="1"/>
  <c r="BD21" i="3" s="1"/>
  <c r="BE21" i="3" a="1"/>
  <c r="BE21" i="3" s="1"/>
  <c r="BF21" i="3" a="1"/>
  <c r="BF21" i="3" s="1"/>
  <c r="BD22" i="3" a="1"/>
  <c r="BD22" i="3" s="1"/>
  <c r="BE22" i="3" a="1"/>
  <c r="BE22" i="3" s="1"/>
  <c r="BF22" i="3" a="1"/>
  <c r="BF22" i="3" s="1"/>
  <c r="BD23" i="3" a="1"/>
  <c r="BD23" i="3" s="1"/>
  <c r="BE23" i="3" a="1"/>
  <c r="BE23" i="3" s="1"/>
  <c r="BF23" i="3" a="1"/>
  <c r="BF23" i="3" s="1"/>
  <c r="BD24" i="3" a="1"/>
  <c r="BD24" i="3" s="1"/>
  <c r="BE24" i="3" a="1"/>
  <c r="BE24" i="3" s="1"/>
  <c r="BF24" i="3" a="1"/>
  <c r="BF24" i="3" s="1"/>
  <c r="BD25" i="3" a="1"/>
  <c r="BD25" i="3" s="1"/>
  <c r="BE25" i="3" a="1"/>
  <c r="BE25" i="3" s="1"/>
  <c r="BF25" i="3" a="1"/>
  <c r="BF25" i="3" s="1"/>
  <c r="BD26" i="3" a="1"/>
  <c r="BD26" i="3" s="1"/>
  <c r="BE26" i="3" a="1"/>
  <c r="BE26" i="3" s="1"/>
  <c r="BF26" i="3" a="1"/>
  <c r="BF26" i="3" s="1"/>
  <c r="BD27" i="3" a="1"/>
  <c r="BD27" i="3" s="1"/>
  <c r="BE27" i="3" a="1"/>
  <c r="BE27" i="3" s="1"/>
  <c r="BF27" i="3" a="1"/>
  <c r="BF27" i="3" s="1"/>
  <c r="BD28" i="3" a="1"/>
  <c r="BD28" i="3" s="1"/>
  <c r="BE28" i="3" a="1"/>
  <c r="BE28" i="3" s="1"/>
  <c r="BF28" i="3" a="1"/>
  <c r="BF28" i="3" s="1"/>
  <c r="BD29" i="3" a="1"/>
  <c r="BD29" i="3" s="1"/>
  <c r="BE29" i="3" a="1"/>
  <c r="BE29" i="3" s="1"/>
  <c r="BF29" i="3" a="1"/>
  <c r="BF29" i="3" s="1"/>
  <c r="BD30" i="3" a="1"/>
  <c r="BD30" i="3" s="1"/>
  <c r="BE30" i="3" a="1"/>
  <c r="BE30" i="3" s="1"/>
  <c r="BF30" i="3" a="1"/>
  <c r="BF30" i="3" s="1"/>
  <c r="BD31" i="3" a="1"/>
  <c r="BD31" i="3" s="1"/>
  <c r="BE31" i="3" a="1"/>
  <c r="BE31" i="3" s="1"/>
  <c r="BF31" i="3" a="1"/>
  <c r="BF31" i="3" s="1"/>
  <c r="BD32" i="3" a="1"/>
  <c r="BD32" i="3" s="1"/>
  <c r="BE32" i="3" a="1"/>
  <c r="BE32" i="3" s="1"/>
  <c r="BF32" i="3" a="1"/>
  <c r="BF32" i="3" s="1"/>
  <c r="BD33" i="3" a="1"/>
  <c r="BD33" i="3" s="1"/>
  <c r="BE33" i="3" a="1"/>
  <c r="BE33" i="3" s="1"/>
  <c r="BF33" i="3" a="1"/>
  <c r="BF33" i="3" s="1"/>
  <c r="BD34" i="3" a="1"/>
  <c r="BD34" i="3" s="1"/>
  <c r="BE34" i="3" a="1"/>
  <c r="BE34" i="3" s="1"/>
  <c r="BF34" i="3" a="1"/>
  <c r="BF34" i="3" s="1"/>
  <c r="BD35" i="3" a="1"/>
  <c r="BD35" i="3" s="1"/>
  <c r="BE35" i="3" a="1"/>
  <c r="BE35" i="3" s="1"/>
  <c r="BF35" i="3" a="1"/>
  <c r="BF35" i="3" s="1"/>
  <c r="BD36" i="3" a="1"/>
  <c r="BD36" i="3" s="1"/>
  <c r="BE36" i="3" a="1"/>
  <c r="BE36" i="3" s="1"/>
  <c r="BF36" i="3" a="1"/>
  <c r="BF36" i="3" s="1"/>
  <c r="BD37" i="3" a="1"/>
  <c r="BD37" i="3" s="1"/>
  <c r="BE37" i="3" a="1"/>
  <c r="BE37" i="3" s="1"/>
  <c r="BF37" i="3" a="1"/>
  <c r="BF37" i="3" s="1"/>
  <c r="BD38" i="3" a="1"/>
  <c r="BD38" i="3" s="1"/>
  <c r="BE38" i="3" a="1"/>
  <c r="BE38" i="3" s="1"/>
  <c r="BF38" i="3" a="1"/>
  <c r="BF38" i="3" s="1"/>
  <c r="BD39" i="3" a="1"/>
  <c r="BD39" i="3" s="1"/>
  <c r="BE39" i="3" a="1"/>
  <c r="BE39" i="3" s="1"/>
  <c r="BF39" i="3" a="1"/>
  <c r="BF39" i="3" s="1"/>
  <c r="BD40" i="3" a="1"/>
  <c r="BD40" i="3" s="1"/>
  <c r="BE40" i="3" a="1"/>
  <c r="BE40" i="3" s="1"/>
  <c r="BF40" i="3" a="1"/>
  <c r="BF40" i="3" s="1"/>
  <c r="BD41" i="3" a="1"/>
  <c r="BD41" i="3" s="1"/>
  <c r="BE41" i="3" a="1"/>
  <c r="BE41" i="3" s="1"/>
  <c r="BF41" i="3" a="1"/>
  <c r="BF41" i="3" s="1"/>
  <c r="BD42" i="3" a="1"/>
  <c r="BD42" i="3" s="1"/>
  <c r="BE42" i="3" a="1"/>
  <c r="BE42" i="3" s="1"/>
  <c r="BF42" i="3" a="1"/>
  <c r="BF42" i="3" s="1"/>
  <c r="BD43" i="3" a="1"/>
  <c r="BD43" i="3" s="1"/>
  <c r="BE43" i="3" a="1"/>
  <c r="BE43" i="3" s="1"/>
  <c r="BF43" i="3" a="1"/>
  <c r="BF43" i="3" s="1"/>
  <c r="BC3" i="3" a="1"/>
  <c r="BC3" i="3" s="1"/>
  <c r="BC4" i="3" a="1"/>
  <c r="BC4" i="3" s="1"/>
  <c r="BC5" i="3" a="1"/>
  <c r="BC5" i="3"/>
  <c r="BC6" i="3" a="1"/>
  <c r="BC6" i="3" s="1"/>
  <c r="BC7" i="3" a="1"/>
  <c r="BC7" i="3" s="1"/>
  <c r="BC8" i="3" a="1"/>
  <c r="BC8" i="3" s="1"/>
  <c r="BC9" i="3" a="1"/>
  <c r="BC9" i="3" s="1"/>
  <c r="BC10" i="3" a="1"/>
  <c r="BC10" i="3" s="1"/>
  <c r="BC11" i="3" a="1"/>
  <c r="BC11" i="3" s="1"/>
  <c r="BC12" i="3" a="1"/>
  <c r="BC12" i="3" s="1"/>
  <c r="BC13" i="3" a="1"/>
  <c r="BC13" i="3"/>
  <c r="BC14" i="3" a="1"/>
  <c r="BC14" i="3" s="1"/>
  <c r="BC15" i="3" a="1"/>
  <c r="BC15" i="3" s="1"/>
  <c r="BC16" i="3" a="1"/>
  <c r="BC16" i="3" s="1"/>
  <c r="BC17" i="3" a="1"/>
  <c r="BC17" i="3" s="1"/>
  <c r="BC18" i="3" a="1"/>
  <c r="BC18" i="3" s="1"/>
  <c r="BC19" i="3" a="1"/>
  <c r="BC19" i="3" s="1"/>
  <c r="BC20" i="3" a="1"/>
  <c r="BC20" i="3" s="1"/>
  <c r="BC21" i="3" a="1"/>
  <c r="BC21" i="3" s="1"/>
  <c r="BC22" i="3" a="1"/>
  <c r="BC22" i="3" s="1"/>
  <c r="BC23" i="3" a="1"/>
  <c r="BC23" i="3" s="1"/>
  <c r="BC24" i="3" a="1"/>
  <c r="BC24" i="3" s="1"/>
  <c r="BC25" i="3" a="1"/>
  <c r="BC25" i="3" s="1"/>
  <c r="BC26" i="3" a="1"/>
  <c r="BC26" i="3" s="1"/>
  <c r="BC27" i="3" a="1"/>
  <c r="BC27" i="3" s="1"/>
  <c r="BC28" i="3" a="1"/>
  <c r="BC28" i="3" s="1"/>
  <c r="BC29" i="3" a="1"/>
  <c r="BC29" i="3" s="1"/>
  <c r="BC30" i="3" a="1"/>
  <c r="BC30" i="3" s="1"/>
  <c r="BC31" i="3" a="1"/>
  <c r="BC31" i="3" s="1"/>
  <c r="BC32" i="3" a="1"/>
  <c r="BC32" i="3" s="1"/>
  <c r="BC33" i="3" a="1"/>
  <c r="BC33" i="3" s="1"/>
  <c r="BC34" i="3" a="1"/>
  <c r="BC34" i="3" s="1"/>
  <c r="BC35" i="3" a="1"/>
  <c r="BC35" i="3" s="1"/>
  <c r="BC36" i="3" a="1"/>
  <c r="BC36" i="3" s="1"/>
  <c r="BC37" i="3" a="1"/>
  <c r="BC37" i="3" s="1"/>
  <c r="BC38" i="3" a="1"/>
  <c r="BC38" i="3" s="1"/>
  <c r="BC39" i="3" a="1"/>
  <c r="BC39" i="3" s="1"/>
  <c r="BC40" i="3" a="1"/>
  <c r="BC40" i="3" s="1"/>
  <c r="BC41" i="3" a="1"/>
  <c r="BC41" i="3" s="1"/>
  <c r="BC42" i="3" a="1"/>
  <c r="BC42" i="3" s="1"/>
  <c r="BC43" i="3" a="1"/>
  <c r="BC43" i="3" s="1"/>
  <c r="AK4" i="3"/>
  <c r="AL20" i="3"/>
  <c r="AO35" i="3"/>
  <c r="AM26" i="3"/>
  <c r="AN14" i="3"/>
  <c r="AM34" i="3"/>
  <c r="AN43" i="3"/>
  <c r="AO22" i="3"/>
  <c r="AN16" i="3"/>
  <c r="AK43" i="3"/>
  <c r="AO20" i="3"/>
  <c r="AK9" i="3"/>
  <c r="AM35" i="3"/>
  <c r="AL3" i="3"/>
  <c r="AN4" i="3"/>
  <c r="AL30" i="3"/>
  <c r="AO4" i="3"/>
  <c r="AL11" i="3"/>
  <c r="AN17" i="3"/>
  <c r="AK24" i="3"/>
  <c r="AM30" i="3"/>
  <c r="AM42" i="3"/>
  <c r="AO5" i="3"/>
  <c r="AL12" i="3"/>
  <c r="AN18" i="3"/>
  <c r="AK25" i="3"/>
  <c r="AM31" i="3"/>
  <c r="AN38" i="3"/>
  <c r="AM20" i="3"/>
  <c r="AN35" i="3"/>
  <c r="AO6" i="3"/>
  <c r="AL13" i="3"/>
  <c r="AN19" i="3"/>
  <c r="AL29" i="3"/>
  <c r="AO7" i="3"/>
  <c r="AL14" i="3"/>
  <c r="AN20" i="3"/>
  <c r="AK27" i="3"/>
  <c r="AN33" i="3"/>
  <c r="AN40" i="3"/>
  <c r="AM38" i="3"/>
  <c r="AM18" i="3"/>
  <c r="AM36" i="3"/>
  <c r="AK13" i="3"/>
  <c r="AO25" i="3"/>
  <c r="AM39" i="3"/>
  <c r="AL37" i="3"/>
  <c r="AK14" i="3"/>
  <c r="AM32" i="3"/>
  <c r="AK15" i="3"/>
  <c r="AK35" i="3"/>
  <c r="AL39" i="3"/>
  <c r="AL19" i="3"/>
  <c r="AK32" i="3"/>
  <c r="AM7" i="3"/>
  <c r="AN26" i="3"/>
  <c r="AL40" i="3"/>
  <c r="AL41" i="3"/>
  <c r="AK22" i="3"/>
  <c r="AO15" i="3"/>
  <c r="AN28" i="3"/>
  <c r="AO40" i="3"/>
  <c r="AK20" i="3"/>
  <c r="AM40" i="3"/>
  <c r="AK21" i="3"/>
  <c r="AM28" i="3"/>
  <c r="AN15" i="3"/>
  <c r="AL10" i="3"/>
  <c r="AM29" i="3"/>
  <c r="AK8" i="3"/>
  <c r="AK42" i="3"/>
  <c r="AL28" i="3"/>
  <c r="AK10" i="3"/>
  <c r="AM17" i="3"/>
  <c r="AM37" i="3"/>
  <c r="AN5" i="3"/>
  <c r="AM6" i="3"/>
  <c r="AO14" i="3"/>
  <c r="AN36" i="3"/>
  <c r="AM14" i="3"/>
  <c r="AM15" i="3"/>
  <c r="AO41" i="3"/>
  <c r="AM16" i="3"/>
  <c r="AK11" i="3"/>
  <c r="AO43" i="3"/>
  <c r="AL7" i="3"/>
  <c r="AN3" i="3"/>
  <c r="AK3" i="3"/>
  <c r="AO8" i="3"/>
  <c r="AL15" i="3"/>
  <c r="AN21" i="3"/>
  <c r="AK28" i="3"/>
  <c r="AK36" i="3"/>
  <c r="AO34" i="3"/>
  <c r="AO9" i="3"/>
  <c r="AL16" i="3"/>
  <c r="AN22" i="3"/>
  <c r="AK29" i="3"/>
  <c r="AL36" i="3"/>
  <c r="AN42" i="3"/>
  <c r="AO30" i="3"/>
  <c r="AM4" i="3"/>
  <c r="AO10" i="3"/>
  <c r="AL17" i="3"/>
  <c r="AM24" i="3"/>
  <c r="AM5" i="3"/>
  <c r="AO11" i="3"/>
  <c r="AL18" i="3"/>
  <c r="AN24" i="3"/>
  <c r="AK31" i="3"/>
  <c r="AL38" i="3"/>
  <c r="AK34" i="3"/>
  <c r="AK33" i="3"/>
  <c r="AN9" i="3"/>
  <c r="AK16" i="3"/>
  <c r="AM22" i="3"/>
  <c r="AO28" i="3"/>
  <c r="AN37" i="3"/>
  <c r="AL4" i="3"/>
  <c r="AN10" i="3"/>
  <c r="AK17" i="3"/>
  <c r="AM23" i="3"/>
  <c r="AO29" i="3"/>
  <c r="AK37" i="3"/>
  <c r="AM43" i="3"/>
  <c r="AN31" i="3"/>
  <c r="AL5" i="3"/>
  <c r="AN11" i="3"/>
  <c r="AK18" i="3"/>
  <c r="AL25" i="3"/>
  <c r="AL6" i="3"/>
  <c r="AN12" i="3"/>
  <c r="AK19" i="3"/>
  <c r="AM25" i="3"/>
  <c r="AO31" i="3"/>
  <c r="AK39" i="3"/>
  <c r="AL35" i="3"/>
  <c r="AN34" i="3"/>
  <c r="AM10" i="3"/>
  <c r="AO16" i="3"/>
  <c r="AL23" i="3"/>
  <c r="AN29" i="3"/>
  <c r="AK40" i="3"/>
  <c r="AK5" i="3"/>
  <c r="AM11" i="3"/>
  <c r="AO17" i="3"/>
  <c r="AL24" i="3"/>
  <c r="AN30" i="3"/>
  <c r="AO37" i="3"/>
  <c r="AO33" i="3"/>
  <c r="AM33" i="3"/>
  <c r="AK6" i="3"/>
  <c r="AM12" i="3"/>
  <c r="AO18" i="3"/>
  <c r="AO26" i="3"/>
  <c r="AK7" i="3"/>
  <c r="AM13" i="3"/>
  <c r="AO19" i="3"/>
  <c r="AL26" i="3"/>
  <c r="AN32" i="3"/>
  <c r="AO39" i="3"/>
  <c r="AO36" i="3"/>
  <c r="AO38" i="3"/>
  <c r="AO42" i="3"/>
  <c r="AK12" i="3"/>
  <c r="AO24" i="3"/>
  <c r="AL31" i="3"/>
  <c r="AN6" i="3"/>
  <c r="AM19" i="3"/>
  <c r="AL32" i="3"/>
  <c r="AK26" i="3"/>
  <c r="AN7" i="3"/>
  <c r="AL21" i="3"/>
  <c r="AN8" i="3"/>
  <c r="AM21" i="3"/>
  <c r="AO27" i="3"/>
  <c r="AM41" i="3"/>
  <c r="AO12" i="3"/>
  <c r="AN25" i="3"/>
  <c r="AK38" i="3"/>
  <c r="AO13" i="3"/>
  <c r="AL33" i="3"/>
  <c r="AN27" i="3"/>
  <c r="AM8" i="3"/>
  <c r="AN39" i="3"/>
  <c r="AM9" i="3"/>
  <c r="AL22" i="3"/>
  <c r="AL42" i="3"/>
  <c r="AN13" i="3"/>
  <c r="AO32" i="3"/>
  <c r="AL8" i="3"/>
  <c r="AM27" i="3"/>
  <c r="AK41" i="3"/>
  <c r="AL9" i="3"/>
  <c r="AO3" i="3"/>
  <c r="AK23" i="3"/>
  <c r="AN41" i="3"/>
  <c r="AL27" i="3"/>
  <c r="AL34" i="3"/>
  <c r="AO21" i="3"/>
  <c r="AK30" i="3"/>
  <c r="AN23" i="3"/>
  <c r="AO23" i="3"/>
  <c r="AL43" i="3"/>
  <c r="AM3" i="3"/>
  <c r="AY43" i="3" l="1"/>
  <c r="AZ43" i="3"/>
  <c r="CS43" i="3" s="1"/>
  <c r="BA43" i="3"/>
  <c r="AX43" i="3"/>
  <c r="CQ43" i="3" s="1"/>
  <c r="AY39" i="3"/>
  <c r="AZ39" i="3"/>
  <c r="CS39" i="3" s="1"/>
  <c r="BA39" i="3"/>
  <c r="AX39" i="3"/>
  <c r="AY35" i="3"/>
  <c r="AZ35" i="3"/>
  <c r="CS35" i="3" s="1"/>
  <c r="BA35" i="3"/>
  <c r="CT35" i="3" s="1"/>
  <c r="AX35" i="3"/>
  <c r="CQ35" i="3" s="1"/>
  <c r="AY42" i="3"/>
  <c r="CR42" i="3" s="1"/>
  <c r="AZ42" i="3"/>
  <c r="CS42" i="3" s="1"/>
  <c r="BA42" i="3"/>
  <c r="AX42" i="3"/>
  <c r="CQ42" i="3" s="1"/>
  <c r="AY38" i="3"/>
  <c r="AZ38" i="3"/>
  <c r="BA38" i="3"/>
  <c r="AX38" i="3"/>
  <c r="CQ38" i="3" s="1"/>
  <c r="AY30" i="3"/>
  <c r="BA30" i="3"/>
  <c r="CT30" i="3" s="1"/>
  <c r="AX30" i="3"/>
  <c r="AZ30" i="3"/>
  <c r="AY26" i="3"/>
  <c r="BA26" i="3"/>
  <c r="AX26" i="3"/>
  <c r="AZ26" i="3"/>
  <c r="CS26" i="3" s="1"/>
  <c r="AY22" i="3"/>
  <c r="BA22" i="3"/>
  <c r="CT22" i="3" s="1"/>
  <c r="AX22" i="3"/>
  <c r="AZ22" i="3"/>
  <c r="AY18" i="3"/>
  <c r="BA18" i="3"/>
  <c r="AX18" i="3"/>
  <c r="AZ18" i="3"/>
  <c r="CS18" i="3" s="1"/>
  <c r="AY14" i="3"/>
  <c r="BA14" i="3"/>
  <c r="CT14" i="3" s="1"/>
  <c r="AX14" i="3"/>
  <c r="AZ14" i="3"/>
  <c r="AY10" i="3"/>
  <c r="BA10" i="3"/>
  <c r="AX10" i="3"/>
  <c r="AZ10" i="3"/>
  <c r="CS10" i="3" s="1"/>
  <c r="AY6" i="3"/>
  <c r="BA6" i="3"/>
  <c r="CT6" i="3" s="1"/>
  <c r="AX6" i="3"/>
  <c r="AZ6" i="3"/>
  <c r="AY29" i="3"/>
  <c r="AZ29" i="3"/>
  <c r="BA29" i="3"/>
  <c r="AX29" i="3"/>
  <c r="AY25" i="3"/>
  <c r="CR25" i="3" s="1"/>
  <c r="AZ25" i="3"/>
  <c r="CS25" i="3" s="1"/>
  <c r="BA25" i="3"/>
  <c r="AX25" i="3"/>
  <c r="CQ25" i="3" s="1"/>
  <c r="AY21" i="3"/>
  <c r="AZ21" i="3"/>
  <c r="BA21" i="3"/>
  <c r="CT21" i="3" s="1"/>
  <c r="AX21" i="3"/>
  <c r="AY17" i="3"/>
  <c r="CR17" i="3" s="1"/>
  <c r="AZ17" i="3"/>
  <c r="CS17" i="3" s="1"/>
  <c r="BA17" i="3"/>
  <c r="AX17" i="3"/>
  <c r="CQ17" i="3" s="1"/>
  <c r="AY13" i="3"/>
  <c r="AZ13" i="3"/>
  <c r="BA13" i="3"/>
  <c r="AX13" i="3"/>
  <c r="AY9" i="3"/>
  <c r="CR9" i="3" s="1"/>
  <c r="AZ9" i="3"/>
  <c r="CS9" i="3" s="1"/>
  <c r="BA9" i="3"/>
  <c r="AX9" i="3"/>
  <c r="CQ9" i="3" s="1"/>
  <c r="AY5" i="3"/>
  <c r="AZ5" i="3"/>
  <c r="BA5" i="3"/>
  <c r="AX5" i="3"/>
  <c r="AY3" i="3"/>
  <c r="CR3" i="3" s="1"/>
  <c r="AX3" i="3"/>
  <c r="CQ3" i="3" s="1"/>
  <c r="AZ3" i="3"/>
  <c r="BA3" i="3"/>
  <c r="AY41" i="3"/>
  <c r="AZ41" i="3"/>
  <c r="BA41" i="3"/>
  <c r="CT41" i="3" s="1"/>
  <c r="AX41" i="3"/>
  <c r="AY37" i="3"/>
  <c r="CR37" i="3" s="1"/>
  <c r="AZ37" i="3"/>
  <c r="CS37" i="3" s="1"/>
  <c r="BA37" i="3"/>
  <c r="CT37" i="3" s="1"/>
  <c r="AX37" i="3"/>
  <c r="AY40" i="3"/>
  <c r="AZ40" i="3"/>
  <c r="BA40" i="3"/>
  <c r="AX40" i="3"/>
  <c r="AY36" i="3"/>
  <c r="AZ36" i="3"/>
  <c r="CS36" i="3" s="1"/>
  <c r="BA36" i="3"/>
  <c r="AX36" i="3"/>
  <c r="CQ36" i="3" s="1"/>
  <c r="AX33" i="3"/>
  <c r="AY33" i="3"/>
  <c r="AZ33" i="3"/>
  <c r="BA32" i="3"/>
  <c r="CT32" i="3" s="1"/>
  <c r="AX32" i="3"/>
  <c r="AY32" i="3"/>
  <c r="CR32" i="3" s="1"/>
  <c r="AZ32" i="3"/>
  <c r="CS32" i="3" s="1"/>
  <c r="AY28" i="3"/>
  <c r="AX28" i="3"/>
  <c r="AZ28" i="3"/>
  <c r="BA28" i="3"/>
  <c r="AY24" i="3"/>
  <c r="AX24" i="3"/>
  <c r="AZ24" i="3"/>
  <c r="CS24" i="3" s="1"/>
  <c r="BA24" i="3"/>
  <c r="AY20" i="3"/>
  <c r="AX20" i="3"/>
  <c r="AZ20" i="3"/>
  <c r="BA20" i="3"/>
  <c r="AY16" i="3"/>
  <c r="AX16" i="3"/>
  <c r="AZ16" i="3"/>
  <c r="CS16" i="3" s="1"/>
  <c r="BA16" i="3"/>
  <c r="AY12" i="3"/>
  <c r="AX12" i="3"/>
  <c r="AZ12" i="3"/>
  <c r="BA12" i="3"/>
  <c r="CT12" i="3" s="1"/>
  <c r="AY8" i="3"/>
  <c r="AX8" i="3"/>
  <c r="AZ8" i="3"/>
  <c r="CS8" i="3" s="1"/>
  <c r="BA8" i="3"/>
  <c r="AY4" i="3"/>
  <c r="AX4" i="3"/>
  <c r="AZ4" i="3"/>
  <c r="BA4" i="3"/>
  <c r="AX34" i="3"/>
  <c r="CQ34" i="3" s="1"/>
  <c r="AY34" i="3"/>
  <c r="CR34" i="3" s="1"/>
  <c r="AZ34" i="3"/>
  <c r="CS34" i="3" s="1"/>
  <c r="BA31" i="3"/>
  <c r="CT31" i="3" s="1"/>
  <c r="AX31" i="3"/>
  <c r="AY31" i="3"/>
  <c r="AZ31" i="3"/>
  <c r="AY27" i="3"/>
  <c r="CR27" i="3" s="1"/>
  <c r="AX27" i="3"/>
  <c r="CQ27" i="3" s="1"/>
  <c r="AZ27" i="3"/>
  <c r="CS27" i="3" s="1"/>
  <c r="BA27" i="3"/>
  <c r="CT27" i="3" s="1"/>
  <c r="AY23" i="3"/>
  <c r="AX23" i="3"/>
  <c r="AZ23" i="3"/>
  <c r="BA23" i="3"/>
  <c r="CT23" i="3" s="1"/>
  <c r="AY19" i="3"/>
  <c r="CR19" i="3" s="1"/>
  <c r="AX19" i="3"/>
  <c r="CQ19" i="3" s="1"/>
  <c r="AZ19" i="3"/>
  <c r="CS19" i="3" s="1"/>
  <c r="BA19" i="3"/>
  <c r="CT19" i="3" s="1"/>
  <c r="AY15" i="3"/>
  <c r="AX15" i="3"/>
  <c r="AZ15" i="3"/>
  <c r="BA15" i="3"/>
  <c r="CT15" i="3" s="1"/>
  <c r="AY11" i="3"/>
  <c r="CR11" i="3" s="1"/>
  <c r="AX11" i="3"/>
  <c r="CQ11" i="3" s="1"/>
  <c r="AZ11" i="3"/>
  <c r="CS11" i="3" s="1"/>
  <c r="BA11" i="3"/>
  <c r="CT11" i="3" s="1"/>
  <c r="AY7" i="3"/>
  <c r="AX7" i="3"/>
  <c r="AZ7" i="3"/>
  <c r="BA7" i="3"/>
  <c r="CT7" i="3" s="1"/>
  <c r="CT43" i="3"/>
  <c r="CT42" i="3"/>
  <c r="CT40" i="3"/>
  <c r="CT39" i="3"/>
  <c r="CT38" i="3"/>
  <c r="CT36" i="3"/>
  <c r="CT29" i="3"/>
  <c r="CT28" i="3"/>
  <c r="CT26" i="3"/>
  <c r="CT25" i="3"/>
  <c r="CT24" i="3"/>
  <c r="CT20" i="3"/>
  <c r="CT18" i="3"/>
  <c r="CT17" i="3"/>
  <c r="CT16" i="3"/>
  <c r="CT13" i="3"/>
  <c r="CT10" i="3"/>
  <c r="CT9" i="3"/>
  <c r="CT8" i="3"/>
  <c r="CT5" i="3"/>
  <c r="CT4" i="3"/>
  <c r="CT3" i="3"/>
  <c r="CS41" i="3"/>
  <c r="CS40" i="3"/>
  <c r="CS38" i="3"/>
  <c r="CS33" i="3"/>
  <c r="CS31" i="3"/>
  <c r="CS30" i="3"/>
  <c r="CS29" i="3"/>
  <c r="CS28" i="3"/>
  <c r="CS23" i="3"/>
  <c r="CS22" i="3"/>
  <c r="CS21" i="3"/>
  <c r="CS20" i="3"/>
  <c r="CS15" i="3"/>
  <c r="CS14" i="3"/>
  <c r="CS13" i="3"/>
  <c r="CS12" i="3"/>
  <c r="CS7" i="3"/>
  <c r="CS6" i="3"/>
  <c r="CS5" i="3"/>
  <c r="CS4" i="3"/>
  <c r="CR43" i="3"/>
  <c r="CR41" i="3"/>
  <c r="CR40" i="3"/>
  <c r="CR39" i="3"/>
  <c r="CR38" i="3"/>
  <c r="CR36" i="3"/>
  <c r="CR35" i="3"/>
  <c r="CR33" i="3"/>
  <c r="CR31" i="3"/>
  <c r="CR30" i="3"/>
  <c r="CR29" i="3"/>
  <c r="CR28" i="3"/>
  <c r="CR26" i="3"/>
  <c r="CR24" i="3"/>
  <c r="CR23" i="3"/>
  <c r="CR22" i="3"/>
  <c r="CR21" i="3"/>
  <c r="CR20" i="3"/>
  <c r="CR18" i="3"/>
  <c r="CR16" i="3"/>
  <c r="CR15" i="3"/>
  <c r="CR14" i="3"/>
  <c r="CR13" i="3"/>
  <c r="CR12" i="3"/>
  <c r="CR10" i="3"/>
  <c r="CR8" i="3"/>
  <c r="CR7" i="3"/>
  <c r="CR6" i="3"/>
  <c r="CR5" i="3"/>
  <c r="CR4" i="3"/>
  <c r="CQ41" i="3"/>
  <c r="CQ40" i="3"/>
  <c r="CQ39" i="3"/>
  <c r="CQ37" i="3"/>
  <c r="CQ33" i="3"/>
  <c r="CQ32" i="3"/>
  <c r="CQ31" i="3"/>
  <c r="CQ30" i="3"/>
  <c r="CQ29" i="3"/>
  <c r="CQ28" i="3"/>
  <c r="CQ26" i="3"/>
  <c r="CQ24" i="3"/>
  <c r="CQ23" i="3"/>
  <c r="CQ22" i="3"/>
  <c r="CQ21" i="3"/>
  <c r="CQ20" i="3"/>
  <c r="CQ18" i="3"/>
  <c r="CQ16" i="3"/>
  <c r="CQ15" i="3"/>
  <c r="CQ14" i="3"/>
  <c r="CQ13" i="3"/>
  <c r="CQ12" i="3"/>
  <c r="CQ10" i="3"/>
  <c r="CQ8" i="3"/>
  <c r="CQ7" i="3"/>
  <c r="CQ6" i="3"/>
  <c r="CQ5" i="3"/>
  <c r="CQ4" i="3"/>
  <c r="DG43" i="3"/>
  <c r="DG42" i="3"/>
  <c r="DG41" i="3"/>
  <c r="DG40" i="3"/>
  <c r="DG39" i="3"/>
  <c r="DG38" i="3"/>
  <c r="DG37" i="3"/>
  <c r="DG36" i="3"/>
  <c r="DG35" i="3"/>
  <c r="DG34" i="3"/>
  <c r="DG33" i="3"/>
  <c r="DG32" i="3"/>
  <c r="DG31" i="3"/>
  <c r="DG30" i="3"/>
  <c r="DG29" i="3"/>
  <c r="DG28" i="3"/>
  <c r="DG27" i="3"/>
  <c r="DG26" i="3"/>
  <c r="DG25" i="3"/>
  <c r="DG24" i="3"/>
  <c r="DG23" i="3"/>
  <c r="DG22" i="3"/>
  <c r="DG21" i="3"/>
  <c r="DG20" i="3"/>
  <c r="DG19" i="3"/>
  <c r="DG18" i="3"/>
  <c r="DG17" i="3"/>
  <c r="DG16" i="3"/>
  <c r="DG15" i="3"/>
  <c r="DG14" i="3"/>
  <c r="DG13" i="3"/>
  <c r="DG12" i="3"/>
  <c r="DG11" i="3"/>
  <c r="DG10" i="3"/>
  <c r="DG9" i="3"/>
  <c r="DG8" i="3"/>
  <c r="DG7" i="3"/>
  <c r="DG6" i="3"/>
  <c r="DG5" i="3"/>
  <c r="DG4" i="3"/>
  <c r="DG3" i="3"/>
  <c r="DF43" i="3"/>
  <c r="DF42" i="3"/>
  <c r="DF41" i="3"/>
  <c r="DF40" i="3"/>
  <c r="DF39" i="3"/>
  <c r="DF38" i="3"/>
  <c r="DF37" i="3"/>
  <c r="DF36" i="3"/>
  <c r="DF35" i="3"/>
  <c r="DF34" i="3"/>
  <c r="DF33" i="3"/>
  <c r="DF32" i="3"/>
  <c r="DF31" i="3"/>
  <c r="DF30" i="3"/>
  <c r="DF29" i="3"/>
  <c r="DF28" i="3"/>
  <c r="DF27" i="3"/>
  <c r="DF26" i="3"/>
  <c r="DF25" i="3"/>
  <c r="DF24" i="3"/>
  <c r="DF23" i="3"/>
  <c r="DF22" i="3"/>
  <c r="DF21" i="3"/>
  <c r="DF20" i="3"/>
  <c r="DF19" i="3"/>
  <c r="DF18" i="3"/>
  <c r="DF17" i="3"/>
  <c r="DF16" i="3"/>
  <c r="DF15" i="3"/>
  <c r="DF14" i="3"/>
  <c r="DF13" i="3"/>
  <c r="DF12" i="3"/>
  <c r="DF11" i="3"/>
  <c r="DF10" i="3"/>
  <c r="DF9" i="3"/>
  <c r="DF8" i="3"/>
  <c r="DF7" i="3"/>
  <c r="DF6" i="3"/>
  <c r="DF5" i="3"/>
  <c r="DF4" i="3"/>
  <c r="DF3" i="3"/>
  <c r="DI43" i="3"/>
  <c r="DI42" i="3"/>
  <c r="DI41" i="3"/>
  <c r="DI40" i="3"/>
  <c r="DI39" i="3"/>
  <c r="DI38" i="3"/>
  <c r="DI37" i="3"/>
  <c r="DI36" i="3"/>
  <c r="DI35" i="3"/>
  <c r="DI32" i="3"/>
  <c r="DI31" i="3"/>
  <c r="DI30" i="3"/>
  <c r="DI29" i="3"/>
  <c r="DI28" i="3"/>
  <c r="DI27" i="3"/>
  <c r="DI26" i="3"/>
  <c r="DI25" i="3"/>
  <c r="DI24" i="3"/>
  <c r="DI23" i="3"/>
  <c r="DI22" i="3"/>
  <c r="DI21" i="3"/>
  <c r="DI20" i="3"/>
  <c r="DI19" i="3"/>
  <c r="DI18" i="3"/>
  <c r="DI17" i="3"/>
  <c r="DI16" i="3"/>
  <c r="DI15" i="3"/>
  <c r="DI14" i="3"/>
  <c r="DI13" i="3"/>
  <c r="DI12" i="3"/>
  <c r="DI11" i="3"/>
  <c r="DI10" i="3"/>
  <c r="DI9" i="3"/>
  <c r="DI8" i="3"/>
  <c r="DI7" i="3"/>
  <c r="DI6" i="3"/>
  <c r="DI5" i="3"/>
  <c r="DI4" i="3"/>
  <c r="DI3" i="3"/>
  <c r="CS3" i="3"/>
  <c r="DH43" i="3"/>
  <c r="DH42" i="3"/>
  <c r="DH41" i="3"/>
  <c r="DH40" i="3"/>
  <c r="DH39" i="3"/>
  <c r="DH38" i="3"/>
  <c r="DH37" i="3"/>
  <c r="DH36" i="3"/>
  <c r="DH35" i="3"/>
  <c r="DH34" i="3"/>
  <c r="DH33" i="3"/>
  <c r="DH32" i="3"/>
  <c r="DH31" i="3"/>
  <c r="DH30" i="3"/>
  <c r="DH29" i="3"/>
  <c r="DH28" i="3"/>
  <c r="DH27" i="3"/>
  <c r="DH26" i="3"/>
  <c r="DH25" i="3"/>
  <c r="DH24" i="3"/>
  <c r="DH23" i="3"/>
  <c r="DH22" i="3"/>
  <c r="DH21" i="3"/>
  <c r="DH20" i="3"/>
  <c r="DH19" i="3"/>
  <c r="DH18" i="3"/>
  <c r="DH17" i="3"/>
  <c r="DH16" i="3"/>
  <c r="DH15" i="3"/>
  <c r="DH14" i="3"/>
  <c r="DH13" i="3"/>
  <c r="DH12" i="3"/>
  <c r="DH11" i="3"/>
  <c r="DH10" i="3"/>
  <c r="DH9" i="3"/>
  <c r="DH8" i="3"/>
  <c r="DH7" i="3"/>
  <c r="DH6" i="3"/>
  <c r="DH5" i="3"/>
  <c r="DH4" i="3"/>
  <c r="DH3" i="3"/>
  <c r="BA33" i="3"/>
  <c r="CT33" i="3" s="1"/>
  <c r="DI33" i="3"/>
  <c r="BA34" i="3"/>
  <c r="CT34" i="3" s="1"/>
  <c r="DI34" i="3"/>
  <c r="AJ17" i="3"/>
  <c r="AJ19" i="3"/>
  <c r="AE32" i="3"/>
  <c r="AI14" i="3"/>
  <c r="AF13" i="3"/>
  <c r="AH8" i="3"/>
  <c r="AH40" i="3"/>
  <c r="AJ38" i="3"/>
  <c r="AI9" i="3"/>
  <c r="AF41" i="3"/>
  <c r="AH25" i="3"/>
  <c r="AE30" i="3"/>
  <c r="AG22" i="3"/>
  <c r="AJ34" i="3"/>
  <c r="AQ17" i="3"/>
  <c r="AF30" i="3"/>
  <c r="AI21" i="3"/>
  <c r="AQ11" i="3"/>
  <c r="AH37" i="3"/>
  <c r="AQ26" i="3"/>
  <c r="AG31" i="3"/>
  <c r="AE42" i="3"/>
  <c r="AI28" i="3"/>
  <c r="AH22" i="3"/>
  <c r="AG32" i="3"/>
  <c r="AJ35" i="3"/>
  <c r="AI17" i="3"/>
  <c r="AQ30" i="3"/>
  <c r="AJ29" i="3"/>
  <c r="AI3" i="3"/>
  <c r="AF9" i="3"/>
  <c r="AH18" i="3"/>
  <c r="AE16" i="3"/>
  <c r="AG17" i="3"/>
  <c r="AF23" i="3"/>
  <c r="AG38" i="3"/>
  <c r="AG24" i="3"/>
  <c r="AG3" i="3"/>
  <c r="AN2" i="3"/>
  <c r="AH33" i="3"/>
  <c r="AF19" i="3"/>
  <c r="AI33" i="3"/>
  <c r="AG16" i="3"/>
  <c r="AJ36" i="3"/>
  <c r="AI8" i="3"/>
  <c r="AH23" i="3"/>
  <c r="AE14" i="3"/>
  <c r="AF39" i="3"/>
  <c r="AF11" i="3"/>
  <c r="AQ5" i="3"/>
  <c r="AJ27" i="3"/>
  <c r="AI22" i="3"/>
  <c r="AH16" i="3"/>
  <c r="AQ9" i="3"/>
  <c r="AF22" i="3"/>
  <c r="AQ7" i="3"/>
  <c r="AH35" i="3"/>
  <c r="AQ22" i="3"/>
  <c r="AJ12" i="3"/>
  <c r="AI32" i="3"/>
  <c r="AH5" i="3"/>
  <c r="AF16" i="3"/>
  <c r="AG39" i="3"/>
  <c r="AG2" i="3"/>
  <c r="AE33" i="3"/>
  <c r="AF14" i="3"/>
  <c r="AF3" i="3"/>
  <c r="AE7" i="3"/>
  <c r="AG25" i="3"/>
  <c r="AF27" i="3"/>
  <c r="AQ21" i="3"/>
  <c r="AJ31" i="3"/>
  <c r="AE39" i="3"/>
  <c r="AE25" i="3"/>
  <c r="AH41" i="3"/>
  <c r="AG28" i="3"/>
  <c r="AQ16" i="3"/>
  <c r="AF32" i="3"/>
  <c r="AG43" i="3"/>
  <c r="AF36" i="3"/>
  <c r="AQ25" i="3"/>
  <c r="AJ2" i="3"/>
  <c r="AI19" i="3"/>
  <c r="AQ18" i="3"/>
  <c r="AE10" i="3"/>
  <c r="AQ41" i="3"/>
  <c r="AJ37" i="3"/>
  <c r="AQ3" i="3"/>
  <c r="AJ10" i="3"/>
  <c r="AH3" i="3"/>
  <c r="AG6" i="3"/>
  <c r="AG40" i="3"/>
  <c r="AI43" i="3"/>
  <c r="AE9" i="3"/>
  <c r="AJ21" i="3"/>
  <c r="AJ23" i="3"/>
  <c r="AE11" i="3"/>
  <c r="AI18" i="3"/>
  <c r="AF29" i="3"/>
  <c r="AH12" i="3"/>
  <c r="AF4" i="3"/>
  <c r="AJ43" i="3"/>
  <c r="AI15" i="3"/>
  <c r="AE23" i="3"/>
  <c r="AH30" i="3"/>
  <c r="AQ6" i="3"/>
  <c r="AG26" i="3"/>
  <c r="AE28" i="3"/>
  <c r="AJ4" i="3"/>
  <c r="AE8" i="3"/>
  <c r="AI27" i="3"/>
  <c r="AQ31" i="3"/>
  <c r="AH42" i="3"/>
  <c r="AG35" i="3"/>
  <c r="AI39" i="3"/>
  <c r="AJ40" i="3"/>
  <c r="AF37" i="3"/>
  <c r="AG21" i="3"/>
  <c r="AG36" i="3"/>
  <c r="AQ13" i="3"/>
  <c r="AE4" i="3"/>
  <c r="AI20" i="3"/>
  <c r="AG30" i="3"/>
  <c r="AE22" i="3"/>
  <c r="AG7" i="3"/>
  <c r="AH43" i="3"/>
  <c r="AF25" i="3"/>
  <c r="AI13" i="3"/>
  <c r="AH29" i="3"/>
  <c r="AE12" i="3"/>
  <c r="AQ29" i="3"/>
  <c r="AI26" i="3"/>
  <c r="AH20" i="3"/>
  <c r="AI25" i="3"/>
  <c r="AQ27" i="3"/>
  <c r="AG34" i="3"/>
  <c r="AJ20" i="3"/>
  <c r="AH10" i="3"/>
  <c r="AG11" i="3"/>
  <c r="AE20" i="3"/>
  <c r="AE24" i="3"/>
  <c r="AF18" i="3"/>
  <c r="AH34" i="3"/>
  <c r="AG29" i="3"/>
  <c r="AE31" i="3"/>
  <c r="AJ3" i="3"/>
  <c r="AI30" i="3"/>
  <c r="AH24" i="3"/>
  <c r="AI31" i="3"/>
  <c r="AF12" i="3"/>
  <c r="AG42" i="3"/>
  <c r="AQ36" i="3"/>
  <c r="AH15" i="3"/>
  <c r="AF15" i="3"/>
  <c r="AE38" i="3"/>
  <c r="AG12" i="3"/>
  <c r="AF5" i="3"/>
  <c r="AJ42" i="3"/>
  <c r="AL2" i="3"/>
  <c r="AF35" i="3"/>
  <c r="AQ12" i="3"/>
  <c r="AE2" i="3"/>
  <c r="AQ42" i="3"/>
  <c r="AI37" i="3"/>
  <c r="AQ33" i="3"/>
  <c r="AQ15" i="3"/>
  <c r="AF2" i="3"/>
  <c r="AE26" i="3"/>
  <c r="AQ28" i="3"/>
  <c r="AE43" i="3"/>
  <c r="AJ26" i="3"/>
  <c r="AG15" i="3"/>
  <c r="AJ9" i="3"/>
  <c r="AJ11" i="3"/>
  <c r="AF10" i="3"/>
  <c r="AI6" i="3"/>
  <c r="AI38" i="3"/>
  <c r="AQ35" i="3"/>
  <c r="AH32" i="3"/>
  <c r="AJ25" i="3"/>
  <c r="AQ32" i="3"/>
  <c r="AI41" i="3"/>
  <c r="AH14" i="3"/>
  <c r="AE6" i="3"/>
  <c r="AG14" i="3"/>
  <c r="AE40" i="3"/>
  <c r="AE41" i="3"/>
  <c r="AJ39" i="3"/>
  <c r="AI11" i="3"/>
  <c r="AE17" i="3"/>
  <c r="AH26" i="3"/>
  <c r="AE13" i="3"/>
  <c r="AG23" i="3"/>
  <c r="AE5" i="3"/>
  <c r="AI12" i="3"/>
  <c r="AH6" i="3"/>
  <c r="AG8" i="3"/>
  <c r="AJ22" i="3"/>
  <c r="AQ40" i="3"/>
  <c r="AH38" i="3"/>
  <c r="AJ16" i="3"/>
  <c r="AQ4" i="3"/>
  <c r="AI35" i="3"/>
  <c r="AH7" i="3"/>
  <c r="AF24" i="3"/>
  <c r="AG9" i="3"/>
  <c r="AG41" i="3"/>
  <c r="AJ33" i="3"/>
  <c r="AF20" i="3"/>
  <c r="AJ7" i="3"/>
  <c r="AQ19" i="3"/>
  <c r="AI36" i="3"/>
  <c r="AF43" i="3"/>
  <c r="AF21" i="3"/>
  <c r="AF31" i="3"/>
  <c r="AE35" i="3"/>
  <c r="AI7" i="3"/>
  <c r="AE27" i="3"/>
  <c r="AH39" i="3"/>
  <c r="AF7" i="3"/>
  <c r="AJ15" i="3"/>
  <c r="AH4" i="3"/>
  <c r="AF17" i="3"/>
  <c r="AE18" i="3"/>
  <c r="AE15" i="3"/>
  <c r="AQ14" i="3"/>
  <c r="AH11" i="3"/>
  <c r="AQ24" i="3"/>
  <c r="AF8" i="3"/>
  <c r="AM2" i="3"/>
  <c r="AH9" i="3"/>
  <c r="AH21" i="3"/>
  <c r="AG20" i="3"/>
  <c r="AH27" i="3"/>
  <c r="AF40" i="3"/>
  <c r="AH36" i="3"/>
  <c r="AH19" i="3"/>
  <c r="AQ34" i="3"/>
  <c r="AH31" i="3"/>
  <c r="AF38" i="3"/>
  <c r="AJ6" i="3"/>
  <c r="AE36" i="3"/>
  <c r="AQ38" i="3"/>
  <c r="AF34" i="3"/>
  <c r="AQ2" i="3"/>
  <c r="AJ32" i="3"/>
  <c r="AE19" i="3"/>
  <c r="AJ14" i="3"/>
  <c r="AG5" i="3"/>
  <c r="AH2" i="3"/>
  <c r="AE3" i="3"/>
  <c r="AJ28" i="3"/>
  <c r="AQ23" i="3"/>
  <c r="AO2" i="3"/>
  <c r="AJ41" i="3"/>
  <c r="AH28" i="3"/>
  <c r="AE37" i="3"/>
  <c r="AE34" i="3"/>
  <c r="AI24" i="3"/>
  <c r="AI2" i="3"/>
  <c r="AF26" i="3"/>
  <c r="AI29" i="3"/>
  <c r="AF28" i="3"/>
  <c r="AI23" i="3"/>
  <c r="AQ37" i="3"/>
  <c r="AJ30" i="3"/>
  <c r="AG13" i="3"/>
  <c r="AJ18" i="3"/>
  <c r="AI40" i="3"/>
  <c r="AQ10" i="3"/>
  <c r="AJ5" i="3"/>
  <c r="AI34" i="3"/>
  <c r="AQ8" i="3"/>
  <c r="AG10" i="3"/>
  <c r="AI5" i="3"/>
  <c r="AG19" i="3"/>
  <c r="AQ39" i="3"/>
  <c r="AE29" i="3"/>
  <c r="AJ24" i="3"/>
  <c r="AQ43" i="3"/>
  <c r="AG33" i="3"/>
  <c r="AG4" i="3"/>
  <c r="AJ13" i="3"/>
  <c r="AI42" i="3"/>
  <c r="AI4" i="3"/>
  <c r="AG18" i="3"/>
  <c r="AI16" i="3"/>
  <c r="AG27" i="3"/>
  <c r="AH17" i="3"/>
  <c r="AQ20" i="3"/>
  <c r="AF42" i="3"/>
  <c r="AH13" i="3"/>
  <c r="AG37" i="3"/>
  <c r="AK2" i="3"/>
  <c r="AI10" i="3"/>
  <c r="AF6" i="3"/>
  <c r="AE21" i="3"/>
  <c r="AJ8" i="3"/>
  <c r="AF33" i="3"/>
  <c r="CB36" i="3" l="1"/>
  <c r="AV36" i="3"/>
  <c r="BP36" i="3" s="1"/>
  <c r="AS36" i="3"/>
  <c r="BM36" i="3" s="1"/>
  <c r="AT36" i="3"/>
  <c r="BN36" i="3" s="1"/>
  <c r="AU36" i="3"/>
  <c r="BO36" i="3" s="1"/>
  <c r="CB24" i="3"/>
  <c r="AT24" i="3"/>
  <c r="BN24" i="3" s="1"/>
  <c r="AU24" i="3"/>
  <c r="BO24" i="3" s="1"/>
  <c r="AV24" i="3"/>
  <c r="BP24" i="3" s="1"/>
  <c r="AS24" i="3"/>
  <c r="BM24" i="3" s="1"/>
  <c r="CB4" i="3"/>
  <c r="AT4" i="3"/>
  <c r="BN4" i="3" s="1"/>
  <c r="AU4" i="3"/>
  <c r="BO4" i="3" s="1"/>
  <c r="AV4" i="3"/>
  <c r="BP4" i="3" s="1"/>
  <c r="AS4" i="3"/>
  <c r="BM4" i="3" s="1"/>
  <c r="CC2" i="3"/>
  <c r="CB38" i="3"/>
  <c r="AV38" i="3"/>
  <c r="BP38" i="3" s="1"/>
  <c r="AS38" i="3"/>
  <c r="BM38" i="3" s="1"/>
  <c r="AT38" i="3"/>
  <c r="BN38" i="3" s="1"/>
  <c r="AU38" i="3"/>
  <c r="BO38" i="3" s="1"/>
  <c r="CD2" i="3"/>
  <c r="DG2" i="3"/>
  <c r="CB41" i="3"/>
  <c r="AV41" i="3"/>
  <c r="BP41" i="3" s="1"/>
  <c r="AS41" i="3"/>
  <c r="BM41" i="3" s="1"/>
  <c r="AT41" i="3"/>
  <c r="BN41" i="3" s="1"/>
  <c r="AU41" i="3"/>
  <c r="BO41" i="3" s="1"/>
  <c r="CB37" i="3"/>
  <c r="AV37" i="3"/>
  <c r="BP37" i="3" s="1"/>
  <c r="AS37" i="3"/>
  <c r="BM37" i="3" s="1"/>
  <c r="AT37" i="3"/>
  <c r="BN37" i="3" s="1"/>
  <c r="AU37" i="3"/>
  <c r="BO37" i="3" s="1"/>
  <c r="CB33" i="3"/>
  <c r="AT33" i="3"/>
  <c r="BN33" i="3" s="1"/>
  <c r="AU33" i="3"/>
  <c r="BO33" i="3" s="1"/>
  <c r="AS33" i="3"/>
  <c r="BM33" i="3" s="1"/>
  <c r="CB29" i="3"/>
  <c r="AT29" i="3"/>
  <c r="BN29" i="3" s="1"/>
  <c r="AU29" i="3"/>
  <c r="BO29" i="3" s="1"/>
  <c r="AV29" i="3"/>
  <c r="BP29" i="3" s="1"/>
  <c r="AS29" i="3"/>
  <c r="BM29" i="3" s="1"/>
  <c r="CB25" i="3"/>
  <c r="AT25" i="3"/>
  <c r="BN25" i="3" s="1"/>
  <c r="AU25" i="3"/>
  <c r="BO25" i="3" s="1"/>
  <c r="AV25" i="3"/>
  <c r="BP25" i="3" s="1"/>
  <c r="AS25" i="3"/>
  <c r="BM25" i="3" s="1"/>
  <c r="CB21" i="3"/>
  <c r="AT21" i="3"/>
  <c r="BN21" i="3" s="1"/>
  <c r="AU21" i="3"/>
  <c r="BO21" i="3" s="1"/>
  <c r="AV21" i="3"/>
  <c r="BP21" i="3" s="1"/>
  <c r="AS21" i="3"/>
  <c r="BM21" i="3" s="1"/>
  <c r="CB17" i="3"/>
  <c r="AT17" i="3"/>
  <c r="BN17" i="3" s="1"/>
  <c r="AU17" i="3"/>
  <c r="BO17" i="3" s="1"/>
  <c r="AV17" i="3"/>
  <c r="BP17" i="3" s="1"/>
  <c r="AS17" i="3"/>
  <c r="BM17" i="3" s="1"/>
  <c r="CB13" i="3"/>
  <c r="AT13" i="3"/>
  <c r="BN13" i="3" s="1"/>
  <c r="AU13" i="3"/>
  <c r="BO13" i="3" s="1"/>
  <c r="AV13" i="3"/>
  <c r="BP13" i="3" s="1"/>
  <c r="AS13" i="3"/>
  <c r="BM13" i="3" s="1"/>
  <c r="CB9" i="3"/>
  <c r="AT9" i="3"/>
  <c r="BN9" i="3" s="1"/>
  <c r="AU9" i="3"/>
  <c r="BO9" i="3" s="1"/>
  <c r="AV9" i="3"/>
  <c r="BP9" i="3" s="1"/>
  <c r="AS9" i="3"/>
  <c r="BM9" i="3" s="1"/>
  <c r="CB5" i="3"/>
  <c r="AT5" i="3"/>
  <c r="BN5" i="3" s="1"/>
  <c r="AU5" i="3"/>
  <c r="BO5" i="3" s="1"/>
  <c r="AV5" i="3"/>
  <c r="BP5" i="3" s="1"/>
  <c r="AS5" i="3"/>
  <c r="BM5" i="3" s="1"/>
  <c r="AZ2" i="3"/>
  <c r="CS2" i="3" s="1"/>
  <c r="BA2" i="3"/>
  <c r="CT2" i="3" s="1"/>
  <c r="AX2" i="3"/>
  <c r="CQ2" i="3" s="1"/>
  <c r="AY2" i="3"/>
  <c r="CR2" i="3" s="1"/>
  <c r="DF2" i="3"/>
  <c r="CC39" i="3"/>
  <c r="CC34" i="3"/>
  <c r="CC29" i="3"/>
  <c r="CC23" i="3"/>
  <c r="CC18" i="3"/>
  <c r="CC13" i="3"/>
  <c r="CC7" i="3"/>
  <c r="CD40" i="3"/>
  <c r="CD35" i="3"/>
  <c r="CD29" i="3"/>
  <c r="CD24" i="3"/>
  <c r="CD19" i="3"/>
  <c r="CD13" i="3"/>
  <c r="CD8" i="3"/>
  <c r="CD3" i="3"/>
  <c r="CE42" i="3"/>
  <c r="CE36" i="3"/>
  <c r="CE29" i="3"/>
  <c r="CE24" i="3"/>
  <c r="CE16" i="3"/>
  <c r="CE8" i="3"/>
  <c r="CE2" i="3"/>
  <c r="CB16" i="3"/>
  <c r="AT16" i="3"/>
  <c r="BN16" i="3" s="1"/>
  <c r="AU16" i="3"/>
  <c r="BO16" i="3" s="1"/>
  <c r="AV16" i="3"/>
  <c r="BP16" i="3" s="1"/>
  <c r="AS16" i="3"/>
  <c r="BM16" i="3" s="1"/>
  <c r="CC38" i="3"/>
  <c r="CC27" i="3"/>
  <c r="CC11" i="3"/>
  <c r="CD33" i="3"/>
  <c r="CD17" i="3"/>
  <c r="CD7" i="3"/>
  <c r="CE40" i="3"/>
  <c r="CE35" i="3"/>
  <c r="CE28" i="3"/>
  <c r="CE22" i="3"/>
  <c r="CE14" i="3"/>
  <c r="CE6" i="3"/>
  <c r="CB32" i="3"/>
  <c r="AT32" i="3"/>
  <c r="BN32" i="3" s="1"/>
  <c r="AU32" i="3"/>
  <c r="BO32" i="3" s="1"/>
  <c r="AV32" i="3"/>
  <c r="BP32" i="3" s="1"/>
  <c r="AS32" i="3"/>
  <c r="BM32" i="3" s="1"/>
  <c r="CB20" i="3"/>
  <c r="AT20" i="3"/>
  <c r="BN20" i="3" s="1"/>
  <c r="AU20" i="3"/>
  <c r="BO20" i="3" s="1"/>
  <c r="AV20" i="3"/>
  <c r="BP20" i="3" s="1"/>
  <c r="AS20" i="3"/>
  <c r="BM20" i="3" s="1"/>
  <c r="CB8" i="3"/>
  <c r="AT8" i="3"/>
  <c r="BN8" i="3" s="1"/>
  <c r="AU8" i="3"/>
  <c r="BO8" i="3" s="1"/>
  <c r="AV8" i="3"/>
  <c r="BP8" i="3" s="1"/>
  <c r="AS8" i="3"/>
  <c r="BM8" i="3" s="1"/>
  <c r="CC43" i="3"/>
  <c r="CC33" i="3"/>
  <c r="CC22" i="3"/>
  <c r="CC17" i="3"/>
  <c r="CC6" i="3"/>
  <c r="CD39" i="3"/>
  <c r="CD28" i="3"/>
  <c r="CD23" i="3"/>
  <c r="CD12" i="3"/>
  <c r="CB2" i="3"/>
  <c r="AS2" i="3"/>
  <c r="BM2" i="3" s="1"/>
  <c r="AT2" i="3"/>
  <c r="BN2" i="3" s="1"/>
  <c r="AV2" i="3"/>
  <c r="BP2" i="3" s="1"/>
  <c r="AU2" i="3"/>
  <c r="BO2" i="3" s="1"/>
  <c r="DH2" i="3"/>
  <c r="CB43" i="3"/>
  <c r="AV43" i="3"/>
  <c r="BP43" i="3" s="1"/>
  <c r="AS43" i="3"/>
  <c r="BM43" i="3" s="1"/>
  <c r="AT43" i="3"/>
  <c r="BN43" i="3" s="1"/>
  <c r="AU43" i="3"/>
  <c r="BO43" i="3" s="1"/>
  <c r="CB39" i="3"/>
  <c r="AV39" i="3"/>
  <c r="BP39" i="3" s="1"/>
  <c r="AS39" i="3"/>
  <c r="BM39" i="3" s="1"/>
  <c r="AT39" i="3"/>
  <c r="BN39" i="3" s="1"/>
  <c r="AU39" i="3"/>
  <c r="BO39" i="3" s="1"/>
  <c r="CB35" i="3"/>
  <c r="AV35" i="3"/>
  <c r="BP35" i="3" s="1"/>
  <c r="AS35" i="3"/>
  <c r="BM35" i="3" s="1"/>
  <c r="AT35" i="3"/>
  <c r="BN35" i="3" s="1"/>
  <c r="AU35" i="3"/>
  <c r="BO35" i="3" s="1"/>
  <c r="CB31" i="3"/>
  <c r="AT31" i="3"/>
  <c r="BN31" i="3" s="1"/>
  <c r="AU31" i="3"/>
  <c r="BO31" i="3" s="1"/>
  <c r="AV31" i="3"/>
  <c r="BP31" i="3" s="1"/>
  <c r="AS31" i="3"/>
  <c r="BM31" i="3" s="1"/>
  <c r="CB27" i="3"/>
  <c r="AT27" i="3"/>
  <c r="BN27" i="3" s="1"/>
  <c r="AU27" i="3"/>
  <c r="BO27" i="3" s="1"/>
  <c r="AV27" i="3"/>
  <c r="BP27" i="3" s="1"/>
  <c r="AS27" i="3"/>
  <c r="BM27" i="3" s="1"/>
  <c r="CB23" i="3"/>
  <c r="AT23" i="3"/>
  <c r="BN23" i="3" s="1"/>
  <c r="AU23" i="3"/>
  <c r="BO23" i="3" s="1"/>
  <c r="AV23" i="3"/>
  <c r="BP23" i="3" s="1"/>
  <c r="AS23" i="3"/>
  <c r="BM23" i="3" s="1"/>
  <c r="CB19" i="3"/>
  <c r="AT19" i="3"/>
  <c r="BN19" i="3" s="1"/>
  <c r="AU19" i="3"/>
  <c r="BO19" i="3" s="1"/>
  <c r="AV19" i="3"/>
  <c r="BP19" i="3" s="1"/>
  <c r="AS19" i="3"/>
  <c r="BM19" i="3" s="1"/>
  <c r="CB15" i="3"/>
  <c r="AT15" i="3"/>
  <c r="BN15" i="3" s="1"/>
  <c r="AU15" i="3"/>
  <c r="BO15" i="3" s="1"/>
  <c r="AV15" i="3"/>
  <c r="BP15" i="3" s="1"/>
  <c r="AS15" i="3"/>
  <c r="BM15" i="3" s="1"/>
  <c r="CB11" i="3"/>
  <c r="AT11" i="3"/>
  <c r="BN11" i="3" s="1"/>
  <c r="AU11" i="3"/>
  <c r="BO11" i="3" s="1"/>
  <c r="AV11" i="3"/>
  <c r="BP11" i="3" s="1"/>
  <c r="AS11" i="3"/>
  <c r="BM11" i="3" s="1"/>
  <c r="CB7" i="3"/>
  <c r="AT7" i="3"/>
  <c r="BN7" i="3" s="1"/>
  <c r="AU7" i="3"/>
  <c r="BO7" i="3" s="1"/>
  <c r="AV7" i="3"/>
  <c r="BP7" i="3" s="1"/>
  <c r="AS7" i="3"/>
  <c r="BM7" i="3" s="1"/>
  <c r="CB3" i="3"/>
  <c r="AT3" i="3"/>
  <c r="BN3" i="3" s="1"/>
  <c r="AU3" i="3"/>
  <c r="BO3" i="3" s="1"/>
  <c r="AV3" i="3"/>
  <c r="BP3" i="3" s="1"/>
  <c r="AS3" i="3"/>
  <c r="BM3" i="3" s="1"/>
  <c r="CC42" i="3"/>
  <c r="CC37" i="3"/>
  <c r="CC31" i="3"/>
  <c r="CC26" i="3"/>
  <c r="CC21" i="3"/>
  <c r="CC15" i="3"/>
  <c r="CC10" i="3"/>
  <c r="CC5" i="3"/>
  <c r="CD43" i="3"/>
  <c r="CD37" i="3"/>
  <c r="CD32" i="3"/>
  <c r="CD27" i="3"/>
  <c r="CD21" i="3"/>
  <c r="CD16" i="3"/>
  <c r="CD11" i="3"/>
  <c r="CD5" i="3"/>
  <c r="CE39" i="3"/>
  <c r="CE32" i="3"/>
  <c r="CE26" i="3"/>
  <c r="CE20" i="3"/>
  <c r="CE12" i="3"/>
  <c r="CE4" i="3"/>
  <c r="CB40" i="3"/>
  <c r="AV40" i="3"/>
  <c r="BP40" i="3" s="1"/>
  <c r="AS40" i="3"/>
  <c r="BM40" i="3" s="1"/>
  <c r="AT40" i="3"/>
  <c r="BN40" i="3" s="1"/>
  <c r="AU40" i="3"/>
  <c r="BO40" i="3" s="1"/>
  <c r="CB28" i="3"/>
  <c r="AT28" i="3"/>
  <c r="BN28" i="3" s="1"/>
  <c r="AU28" i="3"/>
  <c r="BO28" i="3" s="1"/>
  <c r="AV28" i="3"/>
  <c r="BP28" i="3" s="1"/>
  <c r="AS28" i="3"/>
  <c r="BM28" i="3" s="1"/>
  <c r="CB12" i="3"/>
  <c r="AT12" i="3"/>
  <c r="BN12" i="3" s="1"/>
  <c r="AU12" i="3"/>
  <c r="BO12" i="3" s="1"/>
  <c r="AV12" i="3"/>
  <c r="BP12" i="3" s="1"/>
  <c r="AS12" i="3"/>
  <c r="BM12" i="3" s="1"/>
  <c r="DI2" i="3"/>
  <c r="CB42" i="3"/>
  <c r="AV42" i="3"/>
  <c r="BP42" i="3" s="1"/>
  <c r="AS42" i="3"/>
  <c r="BM42" i="3" s="1"/>
  <c r="AT42" i="3"/>
  <c r="BN42" i="3" s="1"/>
  <c r="AU42" i="3"/>
  <c r="BO42" i="3" s="1"/>
  <c r="CB34" i="3"/>
  <c r="AU34" i="3"/>
  <c r="BO34" i="3" s="1"/>
  <c r="AS34" i="3"/>
  <c r="BM34" i="3" s="1"/>
  <c r="AT34" i="3"/>
  <c r="BN34" i="3" s="1"/>
  <c r="CB30" i="3"/>
  <c r="AT30" i="3"/>
  <c r="BN30" i="3" s="1"/>
  <c r="AU30" i="3"/>
  <c r="BO30" i="3" s="1"/>
  <c r="AV30" i="3"/>
  <c r="BP30" i="3" s="1"/>
  <c r="AS30" i="3"/>
  <c r="BM30" i="3" s="1"/>
  <c r="CB26" i="3"/>
  <c r="AT26" i="3"/>
  <c r="BN26" i="3" s="1"/>
  <c r="AU26" i="3"/>
  <c r="BO26" i="3" s="1"/>
  <c r="AV26" i="3"/>
  <c r="BP26" i="3" s="1"/>
  <c r="AS26" i="3"/>
  <c r="BM26" i="3" s="1"/>
  <c r="CB22" i="3"/>
  <c r="AT22" i="3"/>
  <c r="BN22" i="3" s="1"/>
  <c r="AU22" i="3"/>
  <c r="BO22" i="3" s="1"/>
  <c r="AV22" i="3"/>
  <c r="BP22" i="3" s="1"/>
  <c r="AS22" i="3"/>
  <c r="BM22" i="3" s="1"/>
  <c r="CB18" i="3"/>
  <c r="AT18" i="3"/>
  <c r="BN18" i="3" s="1"/>
  <c r="AU18" i="3"/>
  <c r="BO18" i="3" s="1"/>
  <c r="AV18" i="3"/>
  <c r="BP18" i="3" s="1"/>
  <c r="AS18" i="3"/>
  <c r="BM18" i="3" s="1"/>
  <c r="CB14" i="3"/>
  <c r="AT14" i="3"/>
  <c r="BN14" i="3" s="1"/>
  <c r="AU14" i="3"/>
  <c r="BO14" i="3" s="1"/>
  <c r="AV14" i="3"/>
  <c r="BP14" i="3" s="1"/>
  <c r="AS14" i="3"/>
  <c r="BM14" i="3" s="1"/>
  <c r="CB10" i="3"/>
  <c r="AT10" i="3"/>
  <c r="BN10" i="3" s="1"/>
  <c r="AU10" i="3"/>
  <c r="BO10" i="3" s="1"/>
  <c r="AV10" i="3"/>
  <c r="BP10" i="3" s="1"/>
  <c r="AS10" i="3"/>
  <c r="BM10" i="3" s="1"/>
  <c r="CB6" i="3"/>
  <c r="AT6" i="3"/>
  <c r="BN6" i="3" s="1"/>
  <c r="AU6" i="3"/>
  <c r="BO6" i="3" s="1"/>
  <c r="AV6" i="3"/>
  <c r="BP6" i="3" s="1"/>
  <c r="AS6" i="3"/>
  <c r="BM6" i="3" s="1"/>
  <c r="CC41" i="3"/>
  <c r="CC35" i="3"/>
  <c r="CC30" i="3"/>
  <c r="CC25" i="3"/>
  <c r="CC19" i="3"/>
  <c r="CC14" i="3"/>
  <c r="CC9" i="3"/>
  <c r="CC3" i="3"/>
  <c r="CD41" i="3"/>
  <c r="CD36" i="3"/>
  <c r="CD31" i="3"/>
  <c r="CD25" i="3"/>
  <c r="CD20" i="3"/>
  <c r="CD15" i="3"/>
  <c r="CD9" i="3"/>
  <c r="CD4" i="3"/>
  <c r="CE43" i="3"/>
  <c r="CE38" i="3"/>
  <c r="CE30" i="3"/>
  <c r="CE25" i="3"/>
  <c r="CE18" i="3"/>
  <c r="CE10" i="3"/>
  <c r="CC40" i="3"/>
  <c r="CC36" i="3"/>
  <c r="CC32" i="3"/>
  <c r="CC28" i="3"/>
  <c r="CC24" i="3"/>
  <c r="CC20" i="3"/>
  <c r="CC16" i="3"/>
  <c r="CC12" i="3"/>
  <c r="CC8" i="3"/>
  <c r="CC4" i="3"/>
  <c r="CD42" i="3"/>
  <c r="CD38" i="3"/>
  <c r="CD34" i="3"/>
  <c r="CD30" i="3"/>
  <c r="CD26" i="3"/>
  <c r="CD22" i="3"/>
  <c r="CD18" i="3"/>
  <c r="CD14" i="3"/>
  <c r="CD10" i="3"/>
  <c r="CD6" i="3"/>
  <c r="CE41" i="3"/>
  <c r="CE37" i="3"/>
  <c r="CE31" i="3"/>
  <c r="CE27" i="3"/>
  <c r="CE23" i="3"/>
  <c r="CE19" i="3"/>
  <c r="CE15" i="3"/>
  <c r="CE11" i="3"/>
  <c r="CE7" i="3"/>
  <c r="CE3" i="3"/>
  <c r="CE21" i="3"/>
  <c r="CE17" i="3"/>
  <c r="CE13" i="3"/>
  <c r="CE9" i="3"/>
  <c r="CE5" i="3"/>
  <c r="CE33" i="3"/>
  <c r="AV33" i="3"/>
  <c r="BP33" i="3" s="1"/>
  <c r="CE34" i="3"/>
  <c r="AV34" i="3"/>
  <c r="BP34" i="3" s="1"/>
</calcChain>
</file>

<file path=xl/sharedStrings.xml><?xml version="1.0" encoding="utf-8"?>
<sst xmlns="http://schemas.openxmlformats.org/spreadsheetml/2006/main" count="2615" uniqueCount="304">
  <si>
    <t>(15:24)</t>
  </si>
  <si>
    <t>x</t>
  </si>
  <si>
    <t>(39:24)</t>
  </si>
  <si>
    <t>(47:16)</t>
  </si>
  <si>
    <t xml:space="preserve"> (15:24)</t>
  </si>
  <si>
    <t xml:space="preserve"> x</t>
  </si>
  <si>
    <t xml:space="preserve"> x]</t>
  </si>
  <si>
    <t xml:space="preserve"> (15:24)]</t>
  </si>
  <si>
    <t xml:space="preserve"> (39:24)</t>
  </si>
  <si>
    <t xml:space="preserve"> (39:24)]</t>
  </si>
  <si>
    <t xml:space="preserve"> (47:16)</t>
  </si>
  <si>
    <t xml:space="preserve"> (47:16)]</t>
  </si>
  <si>
    <t>sun1</t>
  </si>
  <si>
    <t>mon1</t>
  </si>
  <si>
    <t>tue1</t>
  </si>
  <si>
    <t>wed1</t>
  </si>
  <si>
    <t>thu1</t>
  </si>
  <si>
    <t>fri1</t>
  </si>
  <si>
    <t>sat1</t>
  </si>
  <si>
    <t>sun2</t>
  </si>
  <si>
    <t>mon2</t>
  </si>
  <si>
    <t>tue2</t>
  </si>
  <si>
    <t>wed2</t>
  </si>
  <si>
    <t>thu2</t>
  </si>
  <si>
    <t>fri2</t>
  </si>
  <si>
    <t>sat2</t>
  </si>
  <si>
    <t>sun3</t>
  </si>
  <si>
    <t>mon3</t>
  </si>
  <si>
    <t>tue3</t>
  </si>
  <si>
    <t>wed3</t>
  </si>
  <si>
    <t>thu3</t>
  </si>
  <si>
    <t>fri3</t>
  </si>
  <si>
    <t>sat3</t>
  </si>
  <si>
    <t>sun4</t>
  </si>
  <si>
    <t>mon4</t>
  </si>
  <si>
    <t>tue4</t>
  </si>
  <si>
    <t>wed4</t>
  </si>
  <si>
    <t>thu4</t>
  </si>
  <si>
    <t>fri4</t>
  </si>
  <si>
    <t>sat4</t>
  </si>
  <si>
    <t>(11:8)</t>
  </si>
  <si>
    <t>(11:16)</t>
  </si>
  <si>
    <t>(11:20)</t>
  </si>
  <si>
    <t>(19:8)</t>
  </si>
  <si>
    <t>(27:16)</t>
  </si>
  <si>
    <t>(31:8)</t>
  </si>
  <si>
    <t>(39:20)</t>
  </si>
  <si>
    <t>(43:8)</t>
  </si>
  <si>
    <t xml:space="preserve"> (11:8)</t>
  </si>
  <si>
    <t xml:space="preserve"> (11:16)</t>
  </si>
  <si>
    <t xml:space="preserve"> (11:20)</t>
  </si>
  <si>
    <t xml:space="preserve"> (15:8)</t>
  </si>
  <si>
    <t xml:space="preserve"> (15:16)</t>
  </si>
  <si>
    <t xml:space="preserve"> (15:20)</t>
  </si>
  <si>
    <t xml:space="preserve"> (19:8)</t>
  </si>
  <si>
    <t xml:space="preserve"> (19:16)</t>
  </si>
  <si>
    <t xml:space="preserve"> (19:20)</t>
  </si>
  <si>
    <t xml:space="preserve"> (23:16)</t>
  </si>
  <si>
    <t xml:space="preserve"> (23:8)</t>
  </si>
  <si>
    <t xml:space="preserve"> (27:16)</t>
  </si>
  <si>
    <t xml:space="preserve"> (27:8)</t>
  </si>
  <si>
    <t xml:space="preserve"> (31:8)</t>
  </si>
  <si>
    <t xml:space="preserve"> (31:16)</t>
  </si>
  <si>
    <t xml:space="preserve"> (35:8)</t>
  </si>
  <si>
    <t xml:space="preserve"> (39:8)</t>
  </si>
  <si>
    <t xml:space="preserve"> (39:20)</t>
  </si>
  <si>
    <t xml:space="preserve"> (43:16)</t>
  </si>
  <si>
    <t xml:space="preserve"> (43:8)</t>
  </si>
  <si>
    <t xml:space="preserve"> (43:20)</t>
  </si>
  <si>
    <t xml:space="preserve"> (47:20)</t>
  </si>
  <si>
    <t>MaxWorkStretch</t>
  </si>
  <si>
    <t>NumDaysWorked</t>
  </si>
  <si>
    <t>DaysWorked_1</t>
  </si>
  <si>
    <t>DaysWorked_2</t>
  </si>
  <si>
    <t>DaysWorked_3</t>
  </si>
  <si>
    <t>DaysWorked_4</t>
  </si>
  <si>
    <t>wkenddays</t>
  </si>
  <si>
    <t>TotalHoursWorked</t>
  </si>
  <si>
    <t>HrsWorked_1</t>
  </si>
  <si>
    <t>HrsWorked_2</t>
  </si>
  <si>
    <t>HrsWorked_3</t>
  </si>
  <si>
    <t>HrsWorked_4</t>
  </si>
  <si>
    <t xml:space="preserve"># ttype, week, cumulative lower bound </t>
  </si>
  <si>
    <t>param tt_min_cumul_dys_weeks :=</t>
  </si>
  <si>
    <t>;</t>
  </si>
  <si>
    <t xml:space="preserve"> </t>
  </si>
  <si>
    <t xml:space="preserve"># ttype, week, cumulative upper bound </t>
  </si>
  <si>
    <t>param tt_max_cumul_dys_weeks :=</t>
  </si>
  <si>
    <t xml:space="preserve"># ttype, week, lower bound </t>
  </si>
  <si>
    <t>param tt_min_dys_weeks :=</t>
  </si>
  <si>
    <t xml:space="preserve"># ttype, week, bound </t>
  </si>
  <si>
    <t>param tt_max_dys_weeks :=</t>
  </si>
  <si>
    <t># Need to automate creation of these</t>
  </si>
  <si>
    <t>param FriSat_min_dys_weeks :=</t>
  </si>
  <si>
    <t>1 1 1 2</t>
  </si>
  <si>
    <t>1 2 1 2</t>
  </si>
  <si>
    <t>1 3 1 2</t>
  </si>
  <si>
    <t>1 4 1 2</t>
  </si>
  <si>
    <t>1 5 1 2</t>
  </si>
  <si>
    <t>1 6 1 2</t>
  </si>
  <si>
    <t>1 7 1 2</t>
  </si>
  <si>
    <t>1 1 2 2</t>
  </si>
  <si>
    <t>1 2 2 2</t>
  </si>
  <si>
    <t>1 3 2 2</t>
  </si>
  <si>
    <t>1 4 2 2</t>
  </si>
  <si>
    <t>1 5 2 2</t>
  </si>
  <si>
    <t>1 6 2 2</t>
  </si>
  <si>
    <t>1 7 2 2</t>
  </si>
  <si>
    <t>2 1 1 5</t>
  </si>
  <si>
    <t>2 2 1 5</t>
  </si>
  <si>
    <t>2 3 1 5</t>
  </si>
  <si>
    <t>2 4 1 5</t>
  </si>
  <si>
    <t>2 5 1 5</t>
  </si>
  <si>
    <t>2 6 1 5</t>
  </si>
  <si>
    <t>2 7 1 5</t>
  </si>
  <si>
    <t>2 1 2 5</t>
  </si>
  <si>
    <t>2 2 2 5</t>
  </si>
  <si>
    <t>2 3 2 5</t>
  </si>
  <si>
    <t>2 4 2 5</t>
  </si>
  <si>
    <t>2 5 2 5</t>
  </si>
  <si>
    <t>2 6 2 5</t>
  </si>
  <si>
    <t>2 7 2 5</t>
  </si>
  <si>
    <t>3 1 1 3</t>
  </si>
  <si>
    <t>3 2 1 3</t>
  </si>
  <si>
    <t>3 3 1 3</t>
  </si>
  <si>
    <t>3 4 1 3</t>
  </si>
  <si>
    <t>3 5 1 3</t>
  </si>
  <si>
    <t>3 6 1 3</t>
  </si>
  <si>
    <t>3 7 1 3</t>
  </si>
  <si>
    <t>3 1 2 3</t>
  </si>
  <si>
    <t>3 2 2 3</t>
  </si>
  <si>
    <t>3 3 2 3</t>
  </si>
  <si>
    <t>3 4 2 3</t>
  </si>
  <si>
    <t>3 5 2 3</t>
  </si>
  <si>
    <t>3 6 2 3</t>
  </si>
  <si>
    <t>3 7 2 3</t>
  </si>
  <si>
    <t>4 1 1 4</t>
  </si>
  <si>
    <t>4 2 1 4</t>
  </si>
  <si>
    <t>4 3 1 4</t>
  </si>
  <si>
    <t>4 4 1 4</t>
  </si>
  <si>
    <t>4 5 1 4</t>
  </si>
  <si>
    <t>4 6 1 4</t>
  </si>
  <si>
    <t>4 7 1 4</t>
  </si>
  <si>
    <t>4 1 2 4</t>
  </si>
  <si>
    <t>4 2 2 4</t>
  </si>
  <si>
    <t>4 3 2 4</t>
  </si>
  <si>
    <t>4 4 2 4</t>
  </si>
  <si>
    <t>4 5 2 4</t>
  </si>
  <si>
    <t>4 6 2 4</t>
  </si>
  <si>
    <t>4 7 2 4</t>
  </si>
  <si>
    <t>5 1 1 1</t>
  </si>
  <si>
    <t>5 2 1 2</t>
  </si>
  <si>
    <t>5 3 1 1</t>
  </si>
  <si>
    <t>5 4 1 1</t>
  </si>
  <si>
    <t>5 5 1 1</t>
  </si>
  <si>
    <t>5 6 1 1</t>
  </si>
  <si>
    <t>5 7 1 1</t>
  </si>
  <si>
    <t>5 1 2 1</t>
  </si>
  <si>
    <t>5 2 2 1</t>
  </si>
  <si>
    <t>5 3 2 2</t>
  </si>
  <si>
    <t>5 4 2 1</t>
  </si>
  <si>
    <t>5 5 2 1</t>
  </si>
  <si>
    <t>5 6 2 1</t>
  </si>
  <si>
    <t>5 7 2 1</t>
  </si>
  <si>
    <t>6 1 1 3</t>
  </si>
  <si>
    <t>6 2 1 3</t>
  </si>
  <si>
    <t>6 3 1 3</t>
  </si>
  <si>
    <t>6 4 1 3</t>
  </si>
  <si>
    <t>6 5 1 3</t>
  </si>
  <si>
    <t>6 6 1 3</t>
  </si>
  <si>
    <t>6 7 1 3</t>
  </si>
  <si>
    <t>6 1 2 3</t>
  </si>
  <si>
    <t>6 2 2 3</t>
  </si>
  <si>
    <t>6 3 2 3</t>
  </si>
  <si>
    <t>6 4 2 3</t>
  </si>
  <si>
    <t>6 5 2 3</t>
  </si>
  <si>
    <t>6 6 2 3</t>
  </si>
  <si>
    <t>6 7 2 3</t>
  </si>
  <si>
    <t>param FriSat_min_cumul_dys_weeks :=</t>
  </si>
  <si>
    <t>1 1 2 4</t>
  </si>
  <si>
    <t>1 2 2 4</t>
  </si>
  <si>
    <t>1 3 2 4</t>
  </si>
  <si>
    <t>1 4 2 4</t>
  </si>
  <si>
    <t>1 5 2 4</t>
  </si>
  <si>
    <t>1 6 2 4</t>
  </si>
  <si>
    <t>1 7 2 4</t>
  </si>
  <si>
    <t>2 1 2 10</t>
  </si>
  <si>
    <t>2 2 2 10</t>
  </si>
  <si>
    <t>2 3 2 10</t>
  </si>
  <si>
    <t>2 4 2 10</t>
  </si>
  <si>
    <t>2 5 2 10</t>
  </si>
  <si>
    <t>2 6 2 10</t>
  </si>
  <si>
    <t>2 7 2 10</t>
  </si>
  <si>
    <t>3 1 2 7</t>
  </si>
  <si>
    <t>3 2 2 7</t>
  </si>
  <si>
    <t>3 3 2 7</t>
  </si>
  <si>
    <t>3 4 2 7</t>
  </si>
  <si>
    <t>3 5 2 7</t>
  </si>
  <si>
    <t>3 6 2 7</t>
  </si>
  <si>
    <t>3 7 2 7</t>
  </si>
  <si>
    <t>4 1 2 8</t>
  </si>
  <si>
    <t>4 2 2 8</t>
  </si>
  <si>
    <t>4 3 2 8</t>
  </si>
  <si>
    <t>4 4 2 8</t>
  </si>
  <si>
    <t>4 5 2 8</t>
  </si>
  <si>
    <t>4 6 2 8</t>
  </si>
  <si>
    <t>4 7 2 8</t>
  </si>
  <si>
    <t>5 1 2 2</t>
  </si>
  <si>
    <t>5 2 2 3</t>
  </si>
  <si>
    <t>5 3 2 3</t>
  </si>
  <si>
    <t>5 4 2 2</t>
  </si>
  <si>
    <t>5 5 2 2</t>
  </si>
  <si>
    <t>5 6 2 2</t>
  </si>
  <si>
    <t>5 7 2 2</t>
  </si>
  <si>
    <t>6 1 2 7</t>
  </si>
  <si>
    <t>6 2 2 7</t>
  </si>
  <si>
    <t>6 3 2 7</t>
  </si>
  <si>
    <t>6 4 2 7</t>
  </si>
  <si>
    <t>6 5 2 7</t>
  </si>
  <si>
    <t>6 6 2 7</t>
  </si>
  <si>
    <t>6 7 2 7</t>
  </si>
  <si>
    <t xml:space="preserve">;    </t>
  </si>
  <si>
    <t># ttype, shift len, week, cumulative lower bound on days worked</t>
  </si>
  <si>
    <t>param tt_shiftlen_min_cumul_dys_weeks :=</t>
  </si>
  <si>
    <t xml:space="preserve">;  </t>
  </si>
  <si>
    <t xml:space="preserve"># ttype, shift len, week, cumulative upper bound on days worked </t>
  </si>
  <si>
    <t>param tt_shiftlen_max_cumul_dys_weeks :=</t>
  </si>
  <si>
    <t># ttype, shift len, week, lower bound on days worked</t>
  </si>
  <si>
    <t>param tt_shiftlen_min_dys_weeks :=</t>
  </si>
  <si>
    <t>param tt_shiftlen_max_dys_weeks :=</t>
  </si>
  <si>
    <t># ttype, week, cumulative lower bound on periods worked</t>
  </si>
  <si>
    <t>param tt_min_cumul_prds_weeks :=</t>
  </si>
  <si>
    <t># ttype, week, cumulative upper bound  on periods worked</t>
  </si>
  <si>
    <t>param tt_max_cumul_prds_weeks :=</t>
  </si>
  <si>
    <t xml:space="preserve">;   </t>
  </si>
  <si>
    <t># 1  8      (2,5),(2,5) (2,5),(4,10) G 0 1.0 1  (32,40),(32,40)  (32,40),(64,80)</t>
  </si>
  <si>
    <t># 2  16     Full time 8hr shift</t>
  </si>
  <si>
    <t># 3  24     (3,3),(3,3) (3,3),(6,6)  G 0 1.0 0  (72,72),(72,80)  (72,72),(144,144)</t>
  </si>
  <si>
    <t>#    16     (0,1),(0,1) (0,1),(1,1)  G 0 1.0 0  (00,32),(00,32)  (00,32),(32,32)</t>
  </si>
  <si>
    <t>#    24+16  (3,4),(3,4) (3,4),(7,7)  G 0 1.0 0  (72,88),(72,88)  (80,80),(160,160)</t>
  </si>
  <si>
    <t># 4  20     (4,4),(4,4) (4,4),(8,8)  G 0 1.0 0  (80,80),(80,80)  (80,80),(160,160)</t>
  </si>
  <si>
    <t># 5  20     (1,3),(1,3) (1,3),(2,6)  G 0 1.0 1  (20,60),(20,60)  (20,60),(40,120)</t>
  </si>
  <si>
    <t xml:space="preserve"># 6  24     (3,4),(3,4) (3,4),(7,7)  G 0 1.0 0  (72,96),(72,96)  (72,96),(168,168) </t>
  </si>
  <si>
    <t># ttype, week, lower bound on periods worked</t>
  </si>
  <si>
    <t>param tt_min_prds_weeks :=</t>
  </si>
  <si>
    <t xml:space="preserve">   ;</t>
  </si>
  <si>
    <t># ttype, week, upper bound  on periods worked</t>
  </si>
  <si>
    <t>param tt_max_prds_weeks :=</t>
  </si>
  <si>
    <t>CD1</t>
  </si>
  <si>
    <t>CD2</t>
  </si>
  <si>
    <t>CD3</t>
  </si>
  <si>
    <t>CD4</t>
  </si>
  <si>
    <t>CH1</t>
  </si>
  <si>
    <t>CH2</t>
  </si>
  <si>
    <t>CH3</t>
  </si>
  <si>
    <t>CH4</t>
  </si>
  <si>
    <t>LB_CD_1</t>
  </si>
  <si>
    <t>LB_CD_2</t>
  </si>
  <si>
    <t>LB_CD_3</t>
  </si>
  <si>
    <t>LB_CD_4</t>
  </si>
  <si>
    <t>UB_CD_1</t>
  </si>
  <si>
    <t>UB_CD_2</t>
  </si>
  <si>
    <t>UB_CD_3</t>
  </si>
  <si>
    <t>UB_CD_4</t>
  </si>
  <si>
    <t>CD_OK_1</t>
  </si>
  <si>
    <t>CD_OK_2</t>
  </si>
  <si>
    <t>CD_OK_3</t>
  </si>
  <si>
    <t>CD_OK_4</t>
  </si>
  <si>
    <t>LB_HR_1</t>
  </si>
  <si>
    <t>LB_HR_2</t>
  </si>
  <si>
    <t>LB_HR_3</t>
  </si>
  <si>
    <t>LB_HR_4</t>
  </si>
  <si>
    <t>UB_HR_1</t>
  </si>
  <si>
    <t>UB_HR_2</t>
  </si>
  <si>
    <t>UB_HR_3</t>
  </si>
  <si>
    <t>UB_HR_4</t>
  </si>
  <si>
    <t>HR_OK_1</t>
  </si>
  <si>
    <t>HR_OK_2</t>
  </si>
  <si>
    <t>HR_OK_3</t>
  </si>
  <si>
    <t>HR_OK_4</t>
  </si>
  <si>
    <t>LB_CH_1</t>
  </si>
  <si>
    <t>LB_CH_2</t>
  </si>
  <si>
    <t>LB_CH_3</t>
  </si>
  <si>
    <t>LB_CH_4</t>
  </si>
  <si>
    <t>UB_CH_1</t>
  </si>
  <si>
    <t>UB_CH_2</t>
  </si>
  <si>
    <t>UB_CH_3</t>
  </si>
  <si>
    <t>UB_CH_4</t>
  </si>
  <si>
    <t>CH_OK_1</t>
  </si>
  <si>
    <t>CH_OK_2</t>
  </si>
  <si>
    <t>CH_OK_3</t>
  </si>
  <si>
    <t>CH_OK_4</t>
  </si>
  <si>
    <t>LB_DY_1</t>
  </si>
  <si>
    <t>LB_DY_2</t>
  </si>
  <si>
    <t>LB_DY_3</t>
  </si>
  <si>
    <t>LB_DY_4</t>
  </si>
  <si>
    <t>UB_DY_1</t>
  </si>
  <si>
    <t>UB_DY_2</t>
  </si>
  <si>
    <t>UB_DY_3</t>
  </si>
  <si>
    <t>UB_DY_4</t>
  </si>
  <si>
    <t>DY_OK_1</t>
  </si>
  <si>
    <t>DY_OK_2</t>
  </si>
  <si>
    <t>DY_OK_3</t>
  </si>
  <si>
    <t>DY_OK_4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</si>
</sst>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I43"/>
  <sheetViews>
    <sheetView tabSelected="1" topLeftCell="A16" zoomScale="110" zoomScaleNormal="110" workbookViewId="0">
      <selection activeCell="M33" sqref="M33"/>
    </sheetView>
  </sheetViews>
  <sheetFormatPr defaultRowHeight="15" x14ac:dyDescent="0.25"/>
  <cols>
    <col min="14" max="14" width="10.5703125" bestFit="1" customWidth="1"/>
    <col min="31" max="31" width="18.42578125" bestFit="1" customWidth="1"/>
    <col min="32" max="32" width="19.140625" bestFit="1" customWidth="1"/>
    <col min="33" max="33" width="21" customWidth="1"/>
    <col min="34" max="36" width="16.85546875" bestFit="1" customWidth="1"/>
    <col min="37" max="37" width="21.140625" bestFit="1" customWidth="1"/>
    <col min="38" max="41" width="16.85546875" customWidth="1"/>
    <col min="43" max="43" width="10.5703125" bestFit="1" customWidth="1"/>
    <col min="55" max="55" width="10.85546875" bestFit="1" customWidth="1"/>
    <col min="56" max="58" width="11.28515625" bestFit="1" customWidth="1"/>
    <col min="60" max="60" width="10.85546875" bestFit="1" customWidth="1"/>
    <col min="61" max="63" width="11.28515625" bestFit="1" customWidth="1"/>
    <col min="65" max="65" width="11.140625" bestFit="1" customWidth="1"/>
    <col min="66" max="68" width="11.5703125" bestFit="1" customWidth="1"/>
    <col min="70" max="70" width="10.5703125" bestFit="1" customWidth="1"/>
    <col min="71" max="73" width="11.140625" bestFit="1" customWidth="1"/>
    <col min="75" max="75" width="10.85546875" bestFit="1" customWidth="1"/>
    <col min="76" max="78" width="11.28515625" bestFit="1" customWidth="1"/>
    <col min="80" max="80" width="10.85546875" bestFit="1" customWidth="1"/>
    <col min="81" max="83" width="11.28515625" bestFit="1" customWidth="1"/>
    <col min="85" max="85" width="10.85546875" bestFit="1" customWidth="1"/>
    <col min="86" max="88" width="11.28515625" bestFit="1" customWidth="1"/>
    <col min="90" max="90" width="11.140625" bestFit="1" customWidth="1"/>
    <col min="91" max="93" width="11.5703125" bestFit="1" customWidth="1"/>
    <col min="95" max="95" width="11.140625" bestFit="1" customWidth="1"/>
    <col min="96" max="98" width="11.5703125" bestFit="1" customWidth="1"/>
    <col min="100" max="100" width="9.140625" customWidth="1"/>
  </cols>
  <sheetData>
    <row r="1" spans="1:113" x14ac:dyDescent="0.25"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3" t="s">
        <v>18</v>
      </c>
      <c r="I1" s="2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2" t="s">
        <v>33</v>
      </c>
      <c r="X1" s="2" t="s">
        <v>34</v>
      </c>
      <c r="Y1" s="2" t="s">
        <v>35</v>
      </c>
      <c r="Z1" s="2" t="s">
        <v>36</v>
      </c>
      <c r="AA1" s="2" t="s">
        <v>37</v>
      </c>
      <c r="AB1" s="2" t="s">
        <v>38</v>
      </c>
      <c r="AC1" s="2" t="s">
        <v>39</v>
      </c>
      <c r="AE1" s="2" t="s">
        <v>70</v>
      </c>
      <c r="AF1" s="2" t="s">
        <v>71</v>
      </c>
      <c r="AG1" s="2" t="s">
        <v>72</v>
      </c>
      <c r="AH1" s="2" t="s">
        <v>73</v>
      </c>
      <c r="AI1" s="2" t="s">
        <v>74</v>
      </c>
      <c r="AJ1" s="2" t="s">
        <v>75</v>
      </c>
      <c r="AK1" s="2" t="s">
        <v>77</v>
      </c>
      <c r="AL1" s="2" t="s">
        <v>78</v>
      </c>
      <c r="AM1" s="2" t="s">
        <v>79</v>
      </c>
      <c r="AN1" s="2" t="s">
        <v>80</v>
      </c>
      <c r="AO1" s="2" t="s">
        <v>81</v>
      </c>
      <c r="AQ1" s="2" t="s">
        <v>76</v>
      </c>
      <c r="AS1" s="2" t="s">
        <v>248</v>
      </c>
      <c r="AT1" s="2" t="s">
        <v>249</v>
      </c>
      <c r="AU1" s="2" t="s">
        <v>250</v>
      </c>
      <c r="AV1" s="2" t="s">
        <v>251</v>
      </c>
      <c r="AX1" s="2" t="s">
        <v>252</v>
      </c>
      <c r="AY1" s="2" t="s">
        <v>253</v>
      </c>
      <c r="AZ1" s="2" t="s">
        <v>254</v>
      </c>
      <c r="BA1" s="2" t="s">
        <v>255</v>
      </c>
      <c r="BC1" s="2" t="s">
        <v>256</v>
      </c>
      <c r="BD1" s="2" t="s">
        <v>257</v>
      </c>
      <c r="BE1" s="2" t="s">
        <v>258</v>
      </c>
      <c r="BF1" s="2" t="s">
        <v>259</v>
      </c>
      <c r="BH1" s="2" t="s">
        <v>260</v>
      </c>
      <c r="BI1" s="2" t="s">
        <v>261</v>
      </c>
      <c r="BJ1" s="2" t="s">
        <v>262</v>
      </c>
      <c r="BK1" s="2" t="s">
        <v>263</v>
      </c>
      <c r="BM1" s="2" t="s">
        <v>264</v>
      </c>
      <c r="BN1" s="2" t="s">
        <v>265</v>
      </c>
      <c r="BO1" s="2" t="s">
        <v>266</v>
      </c>
      <c r="BP1" s="2" t="s">
        <v>267</v>
      </c>
      <c r="BR1" s="2" t="s">
        <v>292</v>
      </c>
      <c r="BS1" s="2" t="s">
        <v>293</v>
      </c>
      <c r="BT1" s="2" t="s">
        <v>294</v>
      </c>
      <c r="BU1" s="2" t="s">
        <v>295</v>
      </c>
      <c r="BW1" s="2" t="s">
        <v>296</v>
      </c>
      <c r="BX1" s="2" t="s">
        <v>297</v>
      </c>
      <c r="BY1" s="2" t="s">
        <v>298</v>
      </c>
      <c r="BZ1" s="2" t="s">
        <v>299</v>
      </c>
      <c r="CB1" s="2" t="s">
        <v>300</v>
      </c>
      <c r="CC1" s="2" t="s">
        <v>301</v>
      </c>
      <c r="CD1" s="2" t="s">
        <v>302</v>
      </c>
      <c r="CE1" s="2" t="s">
        <v>303</v>
      </c>
      <c r="CG1" s="2" t="s">
        <v>280</v>
      </c>
      <c r="CH1" s="2" t="s">
        <v>281</v>
      </c>
      <c r="CI1" s="2" t="s">
        <v>282</v>
      </c>
      <c r="CJ1" s="2" t="s">
        <v>283</v>
      </c>
      <c r="CL1" s="2" t="s">
        <v>284</v>
      </c>
      <c r="CM1" s="2" t="s">
        <v>285</v>
      </c>
      <c r="CN1" s="2" t="s">
        <v>286</v>
      </c>
      <c r="CO1" s="2" t="s">
        <v>287</v>
      </c>
      <c r="CQ1" s="2" t="s">
        <v>288</v>
      </c>
      <c r="CR1" s="2" t="s">
        <v>289</v>
      </c>
      <c r="CS1" s="2" t="s">
        <v>290</v>
      </c>
      <c r="CT1" s="2" t="s">
        <v>291</v>
      </c>
      <c r="CV1" s="2" t="s">
        <v>268</v>
      </c>
      <c r="CW1" s="2" t="s">
        <v>269</v>
      </c>
      <c r="CX1" s="2" t="s">
        <v>270</v>
      </c>
      <c r="CY1" s="2" t="s">
        <v>271</v>
      </c>
      <c r="DA1" s="2" t="s">
        <v>272</v>
      </c>
      <c r="DB1" s="2" t="s">
        <v>273</v>
      </c>
      <c r="DC1" s="2" t="s">
        <v>274</v>
      </c>
      <c r="DD1" s="2" t="s">
        <v>275</v>
      </c>
      <c r="DF1" s="2" t="s">
        <v>276</v>
      </c>
      <c r="DG1" s="2" t="s">
        <v>277</v>
      </c>
      <c r="DH1" s="2" t="s">
        <v>278</v>
      </c>
      <c r="DI1" s="2" t="s">
        <v>279</v>
      </c>
    </row>
    <row r="2" spans="1:113" x14ac:dyDescent="0.25">
      <c r="A2" s="2">
        <v>1</v>
      </c>
      <c r="B2" s="5" t="s">
        <v>1</v>
      </c>
      <c r="C2" s="2" t="s">
        <v>48</v>
      </c>
      <c r="D2" s="2" t="s">
        <v>48</v>
      </c>
      <c r="E2" s="2" t="s">
        <v>5</v>
      </c>
      <c r="F2" s="2" t="s">
        <v>5</v>
      </c>
      <c r="G2" s="2" t="s">
        <v>5</v>
      </c>
      <c r="H2" s="5" t="s">
        <v>5</v>
      </c>
      <c r="I2" s="5" t="s">
        <v>5</v>
      </c>
      <c r="J2" s="2" t="s">
        <v>5</v>
      </c>
      <c r="K2" s="2" t="s">
        <v>48</v>
      </c>
      <c r="L2" s="2" t="s">
        <v>49</v>
      </c>
      <c r="M2" s="2" t="s">
        <v>5</v>
      </c>
      <c r="N2" s="2" t="s">
        <v>5</v>
      </c>
      <c r="O2" s="5" t="s">
        <v>5</v>
      </c>
      <c r="P2" s="5" t="s">
        <v>5</v>
      </c>
      <c r="Q2" s="2" t="s">
        <v>49</v>
      </c>
      <c r="R2" s="2" t="s">
        <v>5</v>
      </c>
      <c r="S2" s="2" t="s">
        <v>5</v>
      </c>
      <c r="T2" s="2" t="s">
        <v>5</v>
      </c>
      <c r="U2" s="2" t="s">
        <v>49</v>
      </c>
      <c r="V2" s="5" t="s">
        <v>5</v>
      </c>
      <c r="W2" s="5" t="s">
        <v>5</v>
      </c>
      <c r="X2" s="2" t="s">
        <v>5</v>
      </c>
      <c r="Y2" s="2" t="s">
        <v>49</v>
      </c>
      <c r="Z2" s="2" t="s">
        <v>49</v>
      </c>
      <c r="AA2" s="2" t="s">
        <v>5</v>
      </c>
      <c r="AB2" s="2" t="s">
        <v>5</v>
      </c>
      <c r="AC2" s="5" t="s">
        <v>5</v>
      </c>
      <c r="AE2">
        <f>TourMaxWorkstretch(TRUE,B2:H2,I2:O2,P2:V2,W2:AC2)</f>
        <v>2</v>
      </c>
      <c r="AF2">
        <f>TourNumDaysWorked(B2:AC2)</f>
        <v>8</v>
      </c>
      <c r="AG2">
        <f>TourNumDaysWorked(B2:H2)</f>
        <v>2</v>
      </c>
      <c r="AH2">
        <f>TourNumDaysWorked(I2:O2)</f>
        <v>2</v>
      </c>
      <c r="AI2">
        <f>TourNumDaysWorked(P2:V2)</f>
        <v>2</v>
      </c>
      <c r="AJ2">
        <f>TourNumDaysWorked(W2:AC2)</f>
        <v>2</v>
      </c>
      <c r="AK2">
        <f>TourHoursWorked(B2:AC2,30,0)</f>
        <v>52</v>
      </c>
      <c r="AL2">
        <f>TourHoursWorked(B2:H2)</f>
        <v>8</v>
      </c>
      <c r="AM2">
        <f>TourHoursWorked(I2:O2)</f>
        <v>12</v>
      </c>
      <c r="AN2">
        <f>TourHoursWorked(P2:V2)</f>
        <v>16</v>
      </c>
      <c r="AO2">
        <f>TourHoursWorked(W2:AC2)</f>
        <v>16</v>
      </c>
      <c r="AQ2">
        <f>TourWeekendDaysWorked(B2:AC2,40)</f>
        <v>0</v>
      </c>
      <c r="AS2">
        <f>SUM($AG2:AG2)</f>
        <v>2</v>
      </c>
      <c r="AT2">
        <f>SUM($AG2:AH2)</f>
        <v>4</v>
      </c>
      <c r="AU2">
        <f>SUM($AG2:AI2)</f>
        <v>6</v>
      </c>
      <c r="AV2">
        <f>SUM($AG2:AJ2)</f>
        <v>8</v>
      </c>
      <c r="AX2">
        <f>SUM($AL2:AL2)</f>
        <v>8</v>
      </c>
      <c r="AY2">
        <f>SUM($AL2:AM2)</f>
        <v>20</v>
      </c>
      <c r="AZ2">
        <f>SUM($AL2:AN2)</f>
        <v>36</v>
      </c>
      <c r="BA2">
        <f>SUM($AL2:AO2)</f>
        <v>52</v>
      </c>
      <c r="BC2">
        <f t="array" ref="BC2">INDEX(DAT!$C$3:$C$26,MATCH(100*MainTour!$A2+RIGHT(BC$1,1),100*DAT!$A$3:$A$26+DAT!$B$3:$B$26,0))</f>
        <v>2</v>
      </c>
      <c r="BD2">
        <f t="array" ref="BD2">INDEX(DAT!$C$3:$C$26,MATCH(100*MainTour!$A2+RIGHT(BD$1,1),100*DAT!$A$3:$A$26+DAT!$B$3:$B$26,0))</f>
        <v>4</v>
      </c>
      <c r="BE2">
        <f t="array" ref="BE2">INDEX(DAT!$C$3:$C$26,MATCH(100*MainTour!$A2+RIGHT(BE$1,1),100*DAT!$A$3:$A$26+DAT!$B$3:$B$26,0))</f>
        <v>6</v>
      </c>
      <c r="BF2">
        <f t="array" ref="BF2">INDEX(DAT!$C$3:$C$26,MATCH(100*MainTour!$A2+RIGHT(BF$1,1),100*DAT!$A$3:$A$26+DAT!$B$3:$B$26,0))</f>
        <v>8</v>
      </c>
      <c r="BH2">
        <f t="array" ref="BH2">INDEX(DAT!$C$34:$C$57,MATCH(100*MainTour!$A2+RIGHT(BC$1,1),100*DAT!$A$34:$A$57+DAT!$B$34:$B$57,0))</f>
        <v>5</v>
      </c>
      <c r="BI2">
        <f t="array" ref="BI2">INDEX(DAT!$C$34:$C$57,MATCH(100*MainTour!$A2+RIGHT(BD$1,1),100*DAT!$A$34:$A$57+DAT!$B$34:$B$57,0))</f>
        <v>10</v>
      </c>
      <c r="BJ2">
        <f t="array" ref="BJ2">INDEX(DAT!$C$34:$C$57,MATCH(100*MainTour!$A2+RIGHT(BE$1,1),100*DAT!$A$34:$A$57+DAT!$B$34:$B$57,0))</f>
        <v>15</v>
      </c>
      <c r="BK2">
        <f t="array" ref="BK2">INDEX(DAT!$C$34:$C$57,MATCH(100*MainTour!$A2+RIGHT(BF$1,1),100*DAT!$A$34:$A$57+DAT!$B$34:$B$57,0))</f>
        <v>20</v>
      </c>
      <c r="BM2" t="b">
        <f>IF(AND(AS2&gt;=BC2,AS2&lt;=BH2),TRUE,FALSE)</f>
        <v>1</v>
      </c>
      <c r="BN2" t="b">
        <f t="shared" ref="BN2:BP2" si="0">IF(AND(AT2&gt;=BD2,AT2&lt;=BI2),TRUE,FALSE)</f>
        <v>1</v>
      </c>
      <c r="BO2" t="b">
        <f t="shared" si="0"/>
        <v>1</v>
      </c>
      <c r="BP2" t="b">
        <f t="shared" si="0"/>
        <v>1</v>
      </c>
      <c r="BR2">
        <f t="array" ref="BR2">INDEX(DAT!$C$63:$C$86,MATCH(100*MainTour!$A2+RIGHT(BC$1,1),100*DAT!$A$63:$A$86+DAT!$B$63:$B$86,0))</f>
        <v>2</v>
      </c>
      <c r="BS2">
        <f t="array" ref="BS2">INDEX(DAT!$C$63:$C$86,MATCH(100*MainTour!$A2+RIGHT(BD$1,1),100*DAT!$A$63:$A$86+DAT!$B$63:$B$86,0))</f>
        <v>2</v>
      </c>
      <c r="BT2">
        <f t="array" ref="BT2">INDEX(DAT!$C$63:$C$86,MATCH(100*MainTour!$A2+RIGHT(BE$1,1),100*DAT!$A$63:$A$86+DAT!$B$63:$B$86,0))</f>
        <v>2</v>
      </c>
      <c r="BU2">
        <f t="array" ref="BU2">INDEX(DAT!$C$63:$C$86,MATCH(100*MainTour!$A2+RIGHT(BF$1,1),100*DAT!$A$63:$A$86+DAT!$B$63:$B$86,0))</f>
        <v>2</v>
      </c>
      <c r="BW2">
        <f t="array" ref="BW2">INDEX(DAT!$C$92:$C$115,MATCH(100*MainTour!$A2+RIGHT(BC$1,1),100*DAT!$A$92:$A$115+DAT!$B$92:$B$115,0))</f>
        <v>5</v>
      </c>
      <c r="BX2">
        <f t="array" ref="BX2">INDEX(DAT!$C$92:$C$115,MATCH(100*MainTour!$A2+RIGHT(BD$1,1),100*DAT!$A$92:$A$115+DAT!$B$92:$B$115,0))</f>
        <v>5</v>
      </c>
      <c r="BY2">
        <f t="array" ref="BY2">INDEX(DAT!$C$92:$C$115,MATCH(100*MainTour!$A2+RIGHT(BE$1,1),100*DAT!$A$92:$A$115+DAT!$B$92:$B$115,0))</f>
        <v>5</v>
      </c>
      <c r="BZ2">
        <f t="array" ref="BZ2">INDEX(DAT!$C$92:$C$115,MATCH(100*MainTour!$A2+RIGHT(BF$1,1),100*DAT!$A$92:$A$115+DAT!$B$92:$B$115,0))</f>
        <v>5</v>
      </c>
      <c r="CB2" t="b">
        <f>IF(AND(AG2&gt;=BR2,AG2&lt;=BW2),TRUE,FALSE)</f>
        <v>1</v>
      </c>
      <c r="CC2" t="b">
        <f t="shared" ref="CC2:CE2" si="1">IF(AND(AH2&gt;=BS2,AH2&lt;=BX2),TRUE,FALSE)</f>
        <v>1</v>
      </c>
      <c r="CD2" t="b">
        <f t="shared" si="1"/>
        <v>1</v>
      </c>
      <c r="CE2" t="b">
        <f t="shared" si="1"/>
        <v>1</v>
      </c>
      <c r="CG2">
        <f t="array" ref="CG2">INDEX(DAT!$C$476:$C$499,MATCH(100*MainTour!$A2+RIGHT(BC$1,1),100*DAT!$A$476:$A$499+DAT!$B$476:$B$499,0))/2</f>
        <v>8</v>
      </c>
      <c r="CH2">
        <f t="array" ref="CH2">INDEX(DAT!$C$476:$C$499,MATCH(100*MainTour!$A2+RIGHT(BD$1,1),100*DAT!$A$476:$A$499+DAT!$B$476:$B$499,0))/2</f>
        <v>16</v>
      </c>
      <c r="CI2">
        <f t="array" ref="CI2">INDEX(DAT!$C$476:$C$499,MATCH(100*MainTour!$A2+RIGHT(BE$1,1),100*DAT!$A$476:$A$499+DAT!$B$476:$B$499,0))/2</f>
        <v>24</v>
      </c>
      <c r="CJ2">
        <f t="array" ref="CJ2">INDEX(DAT!$C$476:$C$499,MATCH(100*MainTour!$A2+RIGHT(BF$1,1),100*DAT!$A$476:$A$499+DAT!$B$476:$B$499,0))/2</f>
        <v>32</v>
      </c>
      <c r="CL2">
        <f t="array" ref="CL2">INDEX(DAT!$C$506:$C$529,MATCH(100*MainTour!$A2+RIGHT(BC$1,1),100*DAT!$A$506:$A$529+DAT!$B$506:$B$529,0))/2</f>
        <v>32</v>
      </c>
      <c r="CM2">
        <f t="array" ref="CM2">INDEX(DAT!$C$506:$C$529,MATCH(100*MainTour!$A2+RIGHT(BD$1,1),100*DAT!$A$506:$A$529+DAT!$B$506:$B$529,0))/2</f>
        <v>64</v>
      </c>
      <c r="CN2">
        <f t="array" ref="CN2">INDEX(DAT!$C$506:$C$529,MATCH(100*MainTour!$A2+RIGHT(BE$1,1),100*DAT!$A$506:$A$529+DAT!$B$506:$B$529,0))/2</f>
        <v>96</v>
      </c>
      <c r="CO2">
        <f t="array" ref="CO2">INDEX(DAT!$C$506:$C$529,MATCH(100*MainTour!$A2+RIGHT(BF$1,1),100*DAT!$A$506:$A$529+DAT!$B$506:$B$529,0))/2</f>
        <v>128</v>
      </c>
      <c r="CQ2" t="b">
        <f>IF(AND(AX2&gt;=CG2,AX2&lt;=CL2),TRUE,FALSE)</f>
        <v>1</v>
      </c>
      <c r="CR2" t="b">
        <f>IF(AND(AY2&gt;=CH2,AY2&lt;=CM2),TRUE,FALSE)</f>
        <v>1</v>
      </c>
      <c r="CS2" t="b">
        <f>IF(AND(AZ2&gt;=CI2,AZ2&lt;=CN2),TRUE,FALSE)</f>
        <v>1</v>
      </c>
      <c r="CT2" t="b">
        <f>IF(AND(BA2&gt;=CJ2,BA2&lt;=CO2),TRUE,FALSE)</f>
        <v>1</v>
      </c>
      <c r="CV2">
        <f t="array" ref="CV2">INDEX(DAT!$C$544:$C$567,MATCH(100*MainTour!$A2+RIGHT(BC$1,1),100*DAT!$A$544:$A$567+DAT!$B$544:$B$567,0))/2</f>
        <v>8</v>
      </c>
      <c r="CW2">
        <f t="array" ref="CW2">INDEX(DAT!$C$544:$C$567,MATCH(100*MainTour!$A2+RIGHT(BD$1,1),100*DAT!$A$544:$A$567+DAT!$B$544:$B$567,0))/2</f>
        <v>8</v>
      </c>
      <c r="CX2">
        <f t="array" ref="CX2">INDEX(DAT!$C$544:$C$567,MATCH(100*MainTour!$A2+RIGHT(BE$1,1),100*DAT!$A$544:$A$567+DAT!$B$544:$B$567,0))/2</f>
        <v>8</v>
      </c>
      <c r="CY2">
        <f t="array" ref="CY2">INDEX(DAT!$C$544:$C$567,MATCH(100*MainTour!$A2+RIGHT(BF$1,1),100*DAT!$A$544:$A$567+DAT!$B$544:$B$567,0))/2</f>
        <v>8</v>
      </c>
      <c r="DA2">
        <f t="array" ref="DA2">INDEX(DAT!$C$573:$C$596,MATCH(100*MainTour!$A2+RIGHT(BC$1,1),100*DAT!$A$573:$A$596+DAT!$B$573:$B$596,0))/2</f>
        <v>32</v>
      </c>
      <c r="DB2">
        <f t="array" ref="DB2">INDEX(DAT!$C$573:$C$596,MATCH(100*MainTour!$A2+RIGHT(BD$1,1),100*DAT!$A$573:$A$596+DAT!$B$573:$B$596,0))/2</f>
        <v>32</v>
      </c>
      <c r="DC2">
        <f t="array" ref="DC2">INDEX(DAT!$C$573:$C$596,MATCH(100*MainTour!$A2+RIGHT(BE$1,1),100*DAT!$A$573:$A$596+DAT!$B$573:$B$596,0))/2</f>
        <v>32</v>
      </c>
      <c r="DD2">
        <f t="array" ref="DD2">INDEX(DAT!$C$573:$C$596,MATCH(100*MainTour!$A2+RIGHT(BF$1,1),100*DAT!$A$573:$A$596+DAT!$B$573:$B$596,0))/2</f>
        <v>32</v>
      </c>
      <c r="DF2" t="b">
        <f>IF(AND(AL2&gt;=CV2,AL2&lt;=DA2),TRUE,FALSE)</f>
        <v>1</v>
      </c>
      <c r="DG2" t="b">
        <f>IF(AND(AM2&gt;=CW2,AM2&lt;=DB2),TRUE,FALSE)</f>
        <v>1</v>
      </c>
      <c r="DH2" t="b">
        <f>IF(AND(AN2&gt;=CX2,AN2&lt;=DC2),TRUE,FALSE)</f>
        <v>1</v>
      </c>
      <c r="DI2" t="b">
        <f>IF(AND(AO2&gt;=CY2,AO2&lt;=DD2),TRUE,FALSE)</f>
        <v>1</v>
      </c>
    </row>
    <row r="3" spans="1:113" x14ac:dyDescent="0.25">
      <c r="A3" s="2">
        <v>1</v>
      </c>
      <c r="B3" s="5" t="s">
        <v>1</v>
      </c>
      <c r="C3" s="2" t="s">
        <v>5</v>
      </c>
      <c r="D3" s="2" t="s">
        <v>48</v>
      </c>
      <c r="E3" s="2" t="s">
        <v>5</v>
      </c>
      <c r="F3" s="2" t="s">
        <v>5</v>
      </c>
      <c r="G3" s="2" t="s">
        <v>5</v>
      </c>
      <c r="H3" s="5" t="s">
        <v>49</v>
      </c>
      <c r="I3" s="5" t="s">
        <v>49</v>
      </c>
      <c r="J3" s="2" t="s">
        <v>5</v>
      </c>
      <c r="K3" s="2" t="s">
        <v>5</v>
      </c>
      <c r="L3" s="2" t="s">
        <v>5</v>
      </c>
      <c r="M3" s="2" t="s">
        <v>48</v>
      </c>
      <c r="N3" s="2" t="s">
        <v>5</v>
      </c>
      <c r="O3" s="5" t="s">
        <v>5</v>
      </c>
      <c r="P3" s="5" t="s">
        <v>5</v>
      </c>
      <c r="Q3" s="2" t="s">
        <v>49</v>
      </c>
      <c r="R3" s="2" t="s">
        <v>5</v>
      </c>
      <c r="S3" s="2" t="s">
        <v>5</v>
      </c>
      <c r="T3" s="2" t="s">
        <v>5</v>
      </c>
      <c r="U3" s="2" t="s">
        <v>5</v>
      </c>
      <c r="V3" s="5" t="s">
        <v>49</v>
      </c>
      <c r="W3" s="5" t="s">
        <v>49</v>
      </c>
      <c r="X3" s="2" t="s">
        <v>5</v>
      </c>
      <c r="Y3" s="2" t="s">
        <v>48</v>
      </c>
      <c r="Z3" s="2" t="s">
        <v>5</v>
      </c>
      <c r="AA3" s="2" t="s">
        <v>5</v>
      </c>
      <c r="AB3" s="2" t="s">
        <v>5</v>
      </c>
      <c r="AC3" s="5" t="s">
        <v>5</v>
      </c>
      <c r="AE3">
        <f t="shared" ref="AE3:AE43" si="2">TourMaxWorkstretch(TRUE,B3:H3,I3:O3,P3:V3,W3:AC3)</f>
        <v>2</v>
      </c>
      <c r="AF3">
        <f t="shared" ref="AF3:AF43" si="3">TourNumDaysWorked(B3:AC3)</f>
        <v>8</v>
      </c>
      <c r="AG3">
        <f t="shared" ref="AG3:AG43" si="4">TourNumDaysWorked(B3:H3)</f>
        <v>2</v>
      </c>
      <c r="AH3">
        <f t="shared" ref="AH3:AH43" si="5">TourNumDaysWorked(I3:O3)</f>
        <v>2</v>
      </c>
      <c r="AI3">
        <f t="shared" ref="AI3:AI43" si="6">TourNumDaysWorked(P3:V3)</f>
        <v>2</v>
      </c>
      <c r="AJ3">
        <f t="shared" ref="AJ3:AJ43" si="7">TourNumDaysWorked(W3:AC3)</f>
        <v>2</v>
      </c>
      <c r="AK3">
        <f t="shared" ref="AK3:AK43" si="8">TourHoursWorked(B3:AC3,30,0)</f>
        <v>52</v>
      </c>
      <c r="AL3">
        <f t="shared" ref="AL3:AL43" si="9">TourHoursWorked(B3:H3)</f>
        <v>12</v>
      </c>
      <c r="AM3">
        <f t="shared" ref="AM3:AM43" si="10">TourHoursWorked(I3:O3)</f>
        <v>12</v>
      </c>
      <c r="AN3">
        <f t="shared" ref="AN3:AN43" si="11">TourHoursWorked(P3:V3)</f>
        <v>16</v>
      </c>
      <c r="AO3">
        <f t="shared" ref="AO3:AO43" si="12">TourHoursWorked(W3:AC3)</f>
        <v>12</v>
      </c>
      <c r="AQ3">
        <f t="shared" ref="AQ3:AQ43" si="13">TourWeekendDaysWorked(B3:AC3,40)</f>
        <v>4</v>
      </c>
      <c r="AS3">
        <f>SUM($AG3:AG3)</f>
        <v>2</v>
      </c>
      <c r="AT3">
        <f>SUM($AG3:AH3)</f>
        <v>4</v>
      </c>
      <c r="AU3">
        <f>SUM($AG3:AI3)</f>
        <v>6</v>
      </c>
      <c r="AV3">
        <f>SUM($AG3:AJ3)</f>
        <v>8</v>
      </c>
      <c r="AX3">
        <f>SUM($AL3:AL3)</f>
        <v>12</v>
      </c>
      <c r="AY3">
        <f>SUM($AL3:AM3)</f>
        <v>24</v>
      </c>
      <c r="AZ3">
        <f>SUM($AL3:AN3)</f>
        <v>40</v>
      </c>
      <c r="BA3">
        <f>SUM($AL3:AO3)</f>
        <v>52</v>
      </c>
      <c r="BC3">
        <f t="array" ref="BC3">INDEX(DAT!$C$3:$C$26,MATCH(100*MainTour!$A3+RIGHT(BC$1,1),100*DAT!$A$3:$A$26+DAT!$B$3:$B$26,0))</f>
        <v>2</v>
      </c>
      <c r="BD3">
        <f t="array" ref="BD3">INDEX(DAT!$C$3:$C$26,MATCH(100*MainTour!$A3+RIGHT(BD$1,1),100*DAT!$A$3:$A$26+DAT!$B$3:$B$26,0))</f>
        <v>4</v>
      </c>
      <c r="BE3">
        <f t="array" ref="BE3">INDEX(DAT!$C$3:$C$26,MATCH(100*MainTour!$A3+RIGHT(BE$1,1),100*DAT!$A$3:$A$26+DAT!$B$3:$B$26,0))</f>
        <v>6</v>
      </c>
      <c r="BF3">
        <f t="array" ref="BF3">INDEX(DAT!$C$3:$C$26,MATCH(100*MainTour!$A3+RIGHT(BF$1,1),100*DAT!$A$3:$A$26+DAT!$B$3:$B$26,0))</f>
        <v>8</v>
      </c>
      <c r="BH3">
        <f t="array" ref="BH3">INDEX(DAT!$C$34:$C$57,MATCH(100*MainTour!$A3+RIGHT(BC$1,1),100*DAT!$A$34:$A$57+DAT!$B$34:$B$57,0))</f>
        <v>5</v>
      </c>
      <c r="BI3">
        <f t="array" ref="BI3">INDEX(DAT!$C$34:$C$57,MATCH(100*MainTour!$A3+RIGHT(BD$1,1),100*DAT!$A$34:$A$57+DAT!$B$34:$B$57,0))</f>
        <v>10</v>
      </c>
      <c r="BJ3">
        <f t="array" ref="BJ3">INDEX(DAT!$C$34:$C$57,MATCH(100*MainTour!$A3+RIGHT(BE$1,1),100*DAT!$A$34:$A$57+DAT!$B$34:$B$57,0))</f>
        <v>15</v>
      </c>
      <c r="BK3">
        <f t="array" ref="BK3">INDEX(DAT!$C$34:$C$57,MATCH(100*MainTour!$A3+RIGHT(BF$1,1),100*DAT!$A$34:$A$57+DAT!$B$34:$B$57,0))</f>
        <v>20</v>
      </c>
      <c r="BM3" t="b">
        <f t="shared" ref="BM3:BM43" si="14">IF(AND(AS3&gt;=BC3,AS3&lt;=BH3),TRUE,FALSE)</f>
        <v>1</v>
      </c>
      <c r="BN3" t="b">
        <f t="shared" ref="BN3:BN43" si="15">IF(AND(AT3&gt;=BD3,AT3&lt;=BI3),TRUE,FALSE)</f>
        <v>1</v>
      </c>
      <c r="BO3" t="b">
        <f t="shared" ref="BO3:BO43" si="16">IF(AND(AU3&gt;=BE3,AU3&lt;=BJ3),TRUE,FALSE)</f>
        <v>1</v>
      </c>
      <c r="BP3" t="b">
        <f t="shared" ref="BP3:BP43" si="17">IF(AND(AV3&gt;=BF3,AV3&lt;=BK3),TRUE,FALSE)</f>
        <v>1</v>
      </c>
      <c r="BR3">
        <f t="array" ref="BR3">INDEX(DAT!$C$63:$C$86,MATCH(100*MainTour!$A3+RIGHT(BC$1,1),100*DAT!$A$63:$A$86+DAT!$B$63:$B$86,0))</f>
        <v>2</v>
      </c>
      <c r="BS3">
        <f t="array" ref="BS3">INDEX(DAT!$C$63:$C$86,MATCH(100*MainTour!$A3+RIGHT(BD$1,1),100*DAT!$A$63:$A$86+DAT!$B$63:$B$86,0))</f>
        <v>2</v>
      </c>
      <c r="BT3">
        <f t="array" ref="BT3">INDEX(DAT!$C$63:$C$86,MATCH(100*MainTour!$A3+RIGHT(BE$1,1),100*DAT!$A$63:$A$86+DAT!$B$63:$B$86,0))</f>
        <v>2</v>
      </c>
      <c r="BU3">
        <f t="array" ref="BU3">INDEX(DAT!$C$63:$C$86,MATCH(100*MainTour!$A3+RIGHT(BF$1,1),100*DAT!$A$63:$A$86+DAT!$B$63:$B$86,0))</f>
        <v>2</v>
      </c>
      <c r="BW3">
        <f t="array" ref="BW3">INDEX(DAT!$C$92:$C$115,MATCH(100*MainTour!$A3+RIGHT(BC$1,1),100*DAT!$A$92:$A$115+DAT!$B$92:$B$115,0))</f>
        <v>5</v>
      </c>
      <c r="BX3">
        <f t="array" ref="BX3">INDEX(DAT!$C$92:$C$115,MATCH(100*MainTour!$A3+RIGHT(BD$1,1),100*DAT!$A$92:$A$115+DAT!$B$92:$B$115,0))</f>
        <v>5</v>
      </c>
      <c r="BY3">
        <f t="array" ref="BY3">INDEX(DAT!$C$92:$C$115,MATCH(100*MainTour!$A3+RIGHT(BE$1,1),100*DAT!$A$92:$A$115+DAT!$B$92:$B$115,0))</f>
        <v>5</v>
      </c>
      <c r="BZ3">
        <f t="array" ref="BZ3">INDEX(DAT!$C$92:$C$115,MATCH(100*MainTour!$A3+RIGHT(BF$1,1),100*DAT!$A$92:$A$115+DAT!$B$92:$B$115,0))</f>
        <v>5</v>
      </c>
      <c r="CB3" t="b">
        <f t="shared" ref="CB3:CB43" si="18">IF(AND(AG3&gt;=BR3,AG3&lt;=BW3),TRUE,FALSE)</f>
        <v>1</v>
      </c>
      <c r="CC3" t="b">
        <f t="shared" ref="CC3:CC43" si="19">IF(AND(AH3&gt;=BS3,AH3&lt;=BX3),TRUE,FALSE)</f>
        <v>1</v>
      </c>
      <c r="CD3" t="b">
        <f t="shared" ref="CD3:CD43" si="20">IF(AND(AI3&gt;=BT3,AI3&lt;=BY3),TRUE,FALSE)</f>
        <v>1</v>
      </c>
      <c r="CE3" t="b">
        <f t="shared" ref="CE3:CE43" si="21">IF(AND(AJ3&gt;=BU3,AJ3&lt;=BZ3),TRUE,FALSE)</f>
        <v>1</v>
      </c>
      <c r="CG3">
        <f t="array" ref="CG3">INDEX(DAT!$C$476:$C$499,MATCH(100*MainTour!$A3+RIGHT(BC$1,1),100*DAT!$A$476:$A$499+DAT!$B$476:$B$499,0))/2</f>
        <v>8</v>
      </c>
      <c r="CH3">
        <f t="array" ref="CH3">INDEX(DAT!$C$476:$C$499,MATCH(100*MainTour!$A3+RIGHT(BD$1,1),100*DAT!$A$476:$A$499+DAT!$B$476:$B$499,0))/2</f>
        <v>16</v>
      </c>
      <c r="CI3">
        <f t="array" ref="CI3">INDEX(DAT!$C$476:$C$499,MATCH(100*MainTour!$A3+RIGHT(BE$1,1),100*DAT!$A$476:$A$499+DAT!$B$476:$B$499,0))/2</f>
        <v>24</v>
      </c>
      <c r="CJ3">
        <f t="array" ref="CJ3">INDEX(DAT!$C$476:$C$499,MATCH(100*MainTour!$A3+RIGHT(BF$1,1),100*DAT!$A$476:$A$499+DAT!$B$476:$B$499,0))/2</f>
        <v>32</v>
      </c>
      <c r="CL3">
        <f t="array" ref="CL3">INDEX(DAT!$C$506:$C$529,MATCH(100*MainTour!$A3+RIGHT(BC$1,1),100*DAT!$A$506:$A$529+DAT!$B$506:$B$529,0))/2</f>
        <v>32</v>
      </c>
      <c r="CM3">
        <f t="array" ref="CM3">INDEX(DAT!$C$506:$C$529,MATCH(100*MainTour!$A3+RIGHT(BD$1,1),100*DAT!$A$506:$A$529+DAT!$B$506:$B$529,0))/2</f>
        <v>64</v>
      </c>
      <c r="CN3">
        <f t="array" ref="CN3">INDEX(DAT!$C$506:$C$529,MATCH(100*MainTour!$A3+RIGHT(BE$1,1),100*DAT!$A$506:$A$529+DAT!$B$506:$B$529,0))/2</f>
        <v>96</v>
      </c>
      <c r="CO3">
        <f t="array" ref="CO3">INDEX(DAT!$C$506:$C$529,MATCH(100*MainTour!$A3+RIGHT(BF$1,1),100*DAT!$A$506:$A$529+DAT!$B$506:$B$529,0))/2</f>
        <v>128</v>
      </c>
      <c r="CQ3" t="b">
        <f t="shared" ref="CQ3:CQ43" si="22">IF(AND(AX3&gt;=CG3,AX3&lt;=CL3),TRUE,FALSE)</f>
        <v>1</v>
      </c>
      <c r="CR3" t="b">
        <f t="shared" ref="CR3:CR43" si="23">IF(AND(AY3&gt;=CH3,AY3&lt;=CM3),TRUE,FALSE)</f>
        <v>1</v>
      </c>
      <c r="CS3" t="b">
        <f t="shared" ref="CS3:CS43" si="24">IF(AND(AZ3&gt;=CI3,AZ3&lt;=CN3),TRUE,FALSE)</f>
        <v>1</v>
      </c>
      <c r="CT3" t="b">
        <f t="shared" ref="CT3:CT43" si="25">IF(AND(BA3&gt;=CJ3,BA3&lt;=CO3),TRUE,FALSE)</f>
        <v>1</v>
      </c>
      <c r="CV3">
        <f t="array" ref="CV3">INDEX(DAT!$C$544:$C$567,MATCH(100*MainTour!$A3+RIGHT(BC$1,1),100*DAT!$A$544:$A$567+DAT!$B$544:$B$567,0))/2</f>
        <v>8</v>
      </c>
      <c r="CW3">
        <f t="array" ref="CW3">INDEX(DAT!$C$544:$C$567,MATCH(100*MainTour!$A3+RIGHT(BD$1,1),100*DAT!$A$544:$A$567+DAT!$B$544:$B$567,0))/2</f>
        <v>8</v>
      </c>
      <c r="CX3">
        <f t="array" ref="CX3">INDEX(DAT!$C$544:$C$567,MATCH(100*MainTour!$A3+RIGHT(BE$1,1),100*DAT!$A$544:$A$567+DAT!$B$544:$B$567,0))/2</f>
        <v>8</v>
      </c>
      <c r="CY3">
        <f t="array" ref="CY3">INDEX(DAT!$C$544:$C$567,MATCH(100*MainTour!$A3+RIGHT(BF$1,1),100*DAT!$A$544:$A$567+DAT!$B$544:$B$567,0))/2</f>
        <v>8</v>
      </c>
      <c r="DA3">
        <f t="array" ref="DA3">INDEX(DAT!$C$573:$C$596,MATCH(100*MainTour!$A3+RIGHT(BC$1,1),100*DAT!$A$573:$A$596+DAT!$B$573:$B$596,0))/2</f>
        <v>32</v>
      </c>
      <c r="DB3">
        <f t="array" ref="DB3">INDEX(DAT!$C$573:$C$596,MATCH(100*MainTour!$A3+RIGHT(BD$1,1),100*DAT!$A$573:$A$596+DAT!$B$573:$B$596,0))/2</f>
        <v>32</v>
      </c>
      <c r="DC3">
        <f t="array" ref="DC3">INDEX(DAT!$C$573:$C$596,MATCH(100*MainTour!$A3+RIGHT(BE$1,1),100*DAT!$A$573:$A$596+DAT!$B$573:$B$596,0))/2</f>
        <v>32</v>
      </c>
      <c r="DD3">
        <f t="array" ref="DD3">INDEX(DAT!$C$573:$C$596,MATCH(100*MainTour!$A3+RIGHT(BF$1,1),100*DAT!$A$573:$A$596+DAT!$B$573:$B$596,0))/2</f>
        <v>32</v>
      </c>
      <c r="DF3" t="b">
        <f t="shared" ref="DF3:DF43" si="26">IF(AND(AL3&gt;=CV3,AL3&lt;=DA3),TRUE,FALSE)</f>
        <v>1</v>
      </c>
      <c r="DG3" t="b">
        <f t="shared" ref="DG3:DG43" si="27">IF(AND(AM3&gt;=CW3,AM3&lt;=DB3),TRUE,FALSE)</f>
        <v>1</v>
      </c>
      <c r="DH3" t="b">
        <f t="shared" ref="DH3:DH43" si="28">IF(AND(AN3&gt;=CX3,AN3&lt;=DC3),TRUE,FALSE)</f>
        <v>1</v>
      </c>
      <c r="DI3" t="b">
        <f t="shared" ref="DI3:DI43" si="29">IF(AND(AO3&gt;=CY3,AO3&lt;=DD3),TRUE,FALSE)</f>
        <v>1</v>
      </c>
    </row>
    <row r="4" spans="1:113" x14ac:dyDescent="0.25">
      <c r="A4" s="2">
        <v>1</v>
      </c>
      <c r="B4" s="5" t="s">
        <v>1</v>
      </c>
      <c r="C4" s="2" t="s">
        <v>5</v>
      </c>
      <c r="D4" s="2" t="s">
        <v>5</v>
      </c>
      <c r="E4" s="2" t="s">
        <v>5</v>
      </c>
      <c r="F4" s="2" t="s">
        <v>49</v>
      </c>
      <c r="G4" s="2" t="s">
        <v>5</v>
      </c>
      <c r="H4" s="5" t="s">
        <v>49</v>
      </c>
      <c r="I4" s="5" t="s">
        <v>49</v>
      </c>
      <c r="J4" s="2" t="s">
        <v>5</v>
      </c>
      <c r="K4" s="2" t="s">
        <v>5</v>
      </c>
      <c r="L4" s="2" t="s">
        <v>5</v>
      </c>
      <c r="M4" s="2" t="s">
        <v>49</v>
      </c>
      <c r="N4" s="2" t="s">
        <v>5</v>
      </c>
      <c r="O4" s="5" t="s">
        <v>5</v>
      </c>
      <c r="P4" s="5" t="s">
        <v>5</v>
      </c>
      <c r="Q4" s="2" t="s">
        <v>5</v>
      </c>
      <c r="R4" s="2" t="s">
        <v>5</v>
      </c>
      <c r="S4" s="2" t="s">
        <v>5</v>
      </c>
      <c r="T4" s="2" t="s">
        <v>48</v>
      </c>
      <c r="U4" s="2" t="s">
        <v>5</v>
      </c>
      <c r="V4" s="5" t="s">
        <v>49</v>
      </c>
      <c r="W4" s="5" t="s">
        <v>49</v>
      </c>
      <c r="X4" s="2" t="s">
        <v>5</v>
      </c>
      <c r="Y4" s="2" t="s">
        <v>5</v>
      </c>
      <c r="Z4" s="2" t="s">
        <v>48</v>
      </c>
      <c r="AA4" s="2" t="s">
        <v>5</v>
      </c>
      <c r="AB4" s="2" t="s">
        <v>5</v>
      </c>
      <c r="AC4" s="5" t="s">
        <v>5</v>
      </c>
      <c r="AE4">
        <f t="shared" si="2"/>
        <v>2</v>
      </c>
      <c r="AF4">
        <f t="shared" si="3"/>
        <v>8</v>
      </c>
      <c r="AG4">
        <f t="shared" si="4"/>
        <v>2</v>
      </c>
      <c r="AH4">
        <f t="shared" si="5"/>
        <v>2</v>
      </c>
      <c r="AI4">
        <f t="shared" si="6"/>
        <v>2</v>
      </c>
      <c r="AJ4">
        <f t="shared" si="7"/>
        <v>2</v>
      </c>
      <c r="AK4">
        <f t="shared" si="8"/>
        <v>56</v>
      </c>
      <c r="AL4">
        <f t="shared" si="9"/>
        <v>16</v>
      </c>
      <c r="AM4">
        <f t="shared" si="10"/>
        <v>16</v>
      </c>
      <c r="AN4">
        <f t="shared" si="11"/>
        <v>12</v>
      </c>
      <c r="AO4">
        <f t="shared" si="12"/>
        <v>12</v>
      </c>
      <c r="AQ4">
        <f t="shared" si="13"/>
        <v>4</v>
      </c>
      <c r="AS4">
        <f>SUM($AG4:AG4)</f>
        <v>2</v>
      </c>
      <c r="AT4">
        <f>SUM($AG4:AH4)</f>
        <v>4</v>
      </c>
      <c r="AU4">
        <f>SUM($AG4:AI4)</f>
        <v>6</v>
      </c>
      <c r="AV4">
        <f>SUM($AG4:AJ4)</f>
        <v>8</v>
      </c>
      <c r="AX4">
        <f>SUM($AL4:AL4)</f>
        <v>16</v>
      </c>
      <c r="AY4">
        <f>SUM($AL4:AM4)</f>
        <v>32</v>
      </c>
      <c r="AZ4">
        <f>SUM($AL4:AN4)</f>
        <v>44</v>
      </c>
      <c r="BA4">
        <f>SUM($AL4:AO4)</f>
        <v>56</v>
      </c>
      <c r="BC4">
        <f t="array" ref="BC4">INDEX(DAT!$C$3:$C$26,MATCH(100*MainTour!$A4+RIGHT(BC$1,1),100*DAT!$A$3:$A$26+DAT!$B$3:$B$26,0))</f>
        <v>2</v>
      </c>
      <c r="BD4">
        <f t="array" ref="BD4">INDEX(DAT!$C$3:$C$26,MATCH(100*MainTour!$A4+RIGHT(BD$1,1),100*DAT!$A$3:$A$26+DAT!$B$3:$B$26,0))</f>
        <v>4</v>
      </c>
      <c r="BE4">
        <f t="array" ref="BE4">INDEX(DAT!$C$3:$C$26,MATCH(100*MainTour!$A4+RIGHT(BE$1,1),100*DAT!$A$3:$A$26+DAT!$B$3:$B$26,0))</f>
        <v>6</v>
      </c>
      <c r="BF4">
        <f t="array" ref="BF4">INDEX(DAT!$C$3:$C$26,MATCH(100*MainTour!$A4+RIGHT(BF$1,1),100*DAT!$A$3:$A$26+DAT!$B$3:$B$26,0))</f>
        <v>8</v>
      </c>
      <c r="BH4">
        <f t="array" ref="BH4">INDEX(DAT!$C$34:$C$57,MATCH(100*MainTour!$A4+RIGHT(BC$1,1),100*DAT!$A$34:$A$57+DAT!$B$34:$B$57,0))</f>
        <v>5</v>
      </c>
      <c r="BI4">
        <f t="array" ref="BI4">INDEX(DAT!$C$34:$C$57,MATCH(100*MainTour!$A4+RIGHT(BD$1,1),100*DAT!$A$34:$A$57+DAT!$B$34:$B$57,0))</f>
        <v>10</v>
      </c>
      <c r="BJ4">
        <f t="array" ref="BJ4">INDEX(DAT!$C$34:$C$57,MATCH(100*MainTour!$A4+RIGHT(BE$1,1),100*DAT!$A$34:$A$57+DAT!$B$34:$B$57,0))</f>
        <v>15</v>
      </c>
      <c r="BK4">
        <f t="array" ref="BK4">INDEX(DAT!$C$34:$C$57,MATCH(100*MainTour!$A4+RIGHT(BF$1,1),100*DAT!$A$34:$A$57+DAT!$B$34:$B$57,0))</f>
        <v>20</v>
      </c>
      <c r="BM4" t="b">
        <f t="shared" si="14"/>
        <v>1</v>
      </c>
      <c r="BN4" t="b">
        <f t="shared" si="15"/>
        <v>1</v>
      </c>
      <c r="BO4" t="b">
        <f t="shared" si="16"/>
        <v>1</v>
      </c>
      <c r="BP4" t="b">
        <f t="shared" si="17"/>
        <v>1</v>
      </c>
      <c r="BR4">
        <f t="array" ref="BR4">INDEX(DAT!$C$63:$C$86,MATCH(100*MainTour!$A4+RIGHT(BC$1,1),100*DAT!$A$63:$A$86+DAT!$B$63:$B$86,0))</f>
        <v>2</v>
      </c>
      <c r="BS4">
        <f t="array" ref="BS4">INDEX(DAT!$C$63:$C$86,MATCH(100*MainTour!$A4+RIGHT(BD$1,1),100*DAT!$A$63:$A$86+DAT!$B$63:$B$86,0))</f>
        <v>2</v>
      </c>
      <c r="BT4">
        <f t="array" ref="BT4">INDEX(DAT!$C$63:$C$86,MATCH(100*MainTour!$A4+RIGHT(BE$1,1),100*DAT!$A$63:$A$86+DAT!$B$63:$B$86,0))</f>
        <v>2</v>
      </c>
      <c r="BU4">
        <f t="array" ref="BU4">INDEX(DAT!$C$63:$C$86,MATCH(100*MainTour!$A4+RIGHT(BF$1,1),100*DAT!$A$63:$A$86+DAT!$B$63:$B$86,0))</f>
        <v>2</v>
      </c>
      <c r="BW4">
        <f t="array" ref="BW4">INDEX(DAT!$C$92:$C$115,MATCH(100*MainTour!$A4+RIGHT(BC$1,1),100*DAT!$A$92:$A$115+DAT!$B$92:$B$115,0))</f>
        <v>5</v>
      </c>
      <c r="BX4">
        <f t="array" ref="BX4">INDEX(DAT!$C$92:$C$115,MATCH(100*MainTour!$A4+RIGHT(BD$1,1),100*DAT!$A$92:$A$115+DAT!$B$92:$B$115,0))</f>
        <v>5</v>
      </c>
      <c r="BY4">
        <f t="array" ref="BY4">INDEX(DAT!$C$92:$C$115,MATCH(100*MainTour!$A4+RIGHT(BE$1,1),100*DAT!$A$92:$A$115+DAT!$B$92:$B$115,0))</f>
        <v>5</v>
      </c>
      <c r="BZ4">
        <f t="array" ref="BZ4">INDEX(DAT!$C$92:$C$115,MATCH(100*MainTour!$A4+RIGHT(BF$1,1),100*DAT!$A$92:$A$115+DAT!$B$92:$B$115,0))</f>
        <v>5</v>
      </c>
      <c r="CB4" t="b">
        <f t="shared" si="18"/>
        <v>1</v>
      </c>
      <c r="CC4" t="b">
        <f t="shared" si="19"/>
        <v>1</v>
      </c>
      <c r="CD4" t="b">
        <f t="shared" si="20"/>
        <v>1</v>
      </c>
      <c r="CE4" t="b">
        <f t="shared" si="21"/>
        <v>1</v>
      </c>
      <c r="CG4">
        <f t="array" ref="CG4">INDEX(DAT!$C$476:$C$499,MATCH(100*MainTour!$A4+RIGHT(BC$1,1),100*DAT!$A$476:$A$499+DAT!$B$476:$B$499,0))/2</f>
        <v>8</v>
      </c>
      <c r="CH4">
        <f t="array" ref="CH4">INDEX(DAT!$C$476:$C$499,MATCH(100*MainTour!$A4+RIGHT(BD$1,1),100*DAT!$A$476:$A$499+DAT!$B$476:$B$499,0))/2</f>
        <v>16</v>
      </c>
      <c r="CI4">
        <f t="array" ref="CI4">INDEX(DAT!$C$476:$C$499,MATCH(100*MainTour!$A4+RIGHT(BE$1,1),100*DAT!$A$476:$A$499+DAT!$B$476:$B$499,0))/2</f>
        <v>24</v>
      </c>
      <c r="CJ4">
        <f t="array" ref="CJ4">INDEX(DAT!$C$476:$C$499,MATCH(100*MainTour!$A4+RIGHT(BF$1,1),100*DAT!$A$476:$A$499+DAT!$B$476:$B$499,0))/2</f>
        <v>32</v>
      </c>
      <c r="CL4">
        <f t="array" ref="CL4">INDEX(DAT!$C$506:$C$529,MATCH(100*MainTour!$A4+RIGHT(BC$1,1),100*DAT!$A$506:$A$529+DAT!$B$506:$B$529,0))/2</f>
        <v>32</v>
      </c>
      <c r="CM4">
        <f t="array" ref="CM4">INDEX(DAT!$C$506:$C$529,MATCH(100*MainTour!$A4+RIGHT(BD$1,1),100*DAT!$A$506:$A$529+DAT!$B$506:$B$529,0))/2</f>
        <v>64</v>
      </c>
      <c r="CN4">
        <f t="array" ref="CN4">INDEX(DAT!$C$506:$C$529,MATCH(100*MainTour!$A4+RIGHT(BE$1,1),100*DAT!$A$506:$A$529+DAT!$B$506:$B$529,0))/2</f>
        <v>96</v>
      </c>
      <c r="CO4">
        <f t="array" ref="CO4">INDEX(DAT!$C$506:$C$529,MATCH(100*MainTour!$A4+RIGHT(BF$1,1),100*DAT!$A$506:$A$529+DAT!$B$506:$B$529,0))/2</f>
        <v>128</v>
      </c>
      <c r="CQ4" t="b">
        <f t="shared" si="22"/>
        <v>1</v>
      </c>
      <c r="CR4" t="b">
        <f t="shared" si="23"/>
        <v>1</v>
      </c>
      <c r="CS4" t="b">
        <f t="shared" si="24"/>
        <v>1</v>
      </c>
      <c r="CT4" t="b">
        <f t="shared" si="25"/>
        <v>1</v>
      </c>
      <c r="CV4">
        <f t="array" ref="CV4">INDEX(DAT!$C$544:$C$567,MATCH(100*MainTour!$A4+RIGHT(BC$1,1),100*DAT!$A$544:$A$567+DAT!$B$544:$B$567,0))/2</f>
        <v>8</v>
      </c>
      <c r="CW4">
        <f t="array" ref="CW4">INDEX(DAT!$C$544:$C$567,MATCH(100*MainTour!$A4+RIGHT(BD$1,1),100*DAT!$A$544:$A$567+DAT!$B$544:$B$567,0))/2</f>
        <v>8</v>
      </c>
      <c r="CX4">
        <f t="array" ref="CX4">INDEX(DAT!$C$544:$C$567,MATCH(100*MainTour!$A4+RIGHT(BE$1,1),100*DAT!$A$544:$A$567+DAT!$B$544:$B$567,0))/2</f>
        <v>8</v>
      </c>
      <c r="CY4">
        <f t="array" ref="CY4">INDEX(DAT!$C$544:$C$567,MATCH(100*MainTour!$A4+RIGHT(BF$1,1),100*DAT!$A$544:$A$567+DAT!$B$544:$B$567,0))/2</f>
        <v>8</v>
      </c>
      <c r="DA4">
        <f t="array" ref="DA4">INDEX(DAT!$C$573:$C$596,MATCH(100*MainTour!$A4+RIGHT(BC$1,1),100*DAT!$A$573:$A$596+DAT!$B$573:$B$596,0))/2</f>
        <v>32</v>
      </c>
      <c r="DB4">
        <f t="array" ref="DB4">INDEX(DAT!$C$573:$C$596,MATCH(100*MainTour!$A4+RIGHT(BD$1,1),100*DAT!$A$573:$A$596+DAT!$B$573:$B$596,0))/2</f>
        <v>32</v>
      </c>
      <c r="DC4">
        <f t="array" ref="DC4">INDEX(DAT!$C$573:$C$596,MATCH(100*MainTour!$A4+RIGHT(BE$1,1),100*DAT!$A$573:$A$596+DAT!$B$573:$B$596,0))/2</f>
        <v>32</v>
      </c>
      <c r="DD4">
        <f t="array" ref="DD4">INDEX(DAT!$C$573:$C$596,MATCH(100*MainTour!$A4+RIGHT(BF$1,1),100*DAT!$A$573:$A$596+DAT!$B$573:$B$596,0))/2</f>
        <v>32</v>
      </c>
      <c r="DF4" t="b">
        <f t="shared" si="26"/>
        <v>1</v>
      </c>
      <c r="DG4" t="b">
        <f t="shared" si="27"/>
        <v>1</v>
      </c>
      <c r="DH4" t="b">
        <f t="shared" si="28"/>
        <v>1</v>
      </c>
      <c r="DI4" t="b">
        <f t="shared" si="29"/>
        <v>1</v>
      </c>
    </row>
    <row r="5" spans="1:113" x14ac:dyDescent="0.25">
      <c r="A5" s="2">
        <v>1</v>
      </c>
      <c r="B5" s="5" t="s">
        <v>40</v>
      </c>
      <c r="C5" s="2" t="s">
        <v>48</v>
      </c>
      <c r="D5" s="2" t="s">
        <v>5</v>
      </c>
      <c r="E5" s="2" t="s">
        <v>5</v>
      </c>
      <c r="F5" s="2" t="s">
        <v>5</v>
      </c>
      <c r="G5" s="2" t="s">
        <v>5</v>
      </c>
      <c r="H5" s="5" t="s">
        <v>5</v>
      </c>
      <c r="I5" s="5" t="s">
        <v>5</v>
      </c>
      <c r="J5" s="2" t="s">
        <v>5</v>
      </c>
      <c r="K5" s="2" t="s">
        <v>5</v>
      </c>
      <c r="L5" s="2" t="s">
        <v>48</v>
      </c>
      <c r="M5" s="2" t="s">
        <v>5</v>
      </c>
      <c r="N5" s="2" t="s">
        <v>5</v>
      </c>
      <c r="O5" s="5" t="s">
        <v>49</v>
      </c>
      <c r="P5" s="5" t="s">
        <v>49</v>
      </c>
      <c r="Q5" s="2" t="s">
        <v>5</v>
      </c>
      <c r="R5" s="2" t="s">
        <v>5</v>
      </c>
      <c r="S5" s="2" t="s">
        <v>5</v>
      </c>
      <c r="T5" s="2" t="s">
        <v>5</v>
      </c>
      <c r="U5" s="2" t="s">
        <v>49</v>
      </c>
      <c r="V5" s="5" t="s">
        <v>5</v>
      </c>
      <c r="W5" s="5" t="s">
        <v>5</v>
      </c>
      <c r="X5" s="2" t="s">
        <v>5</v>
      </c>
      <c r="Y5" s="2" t="s">
        <v>5</v>
      </c>
      <c r="Z5" s="2" t="s">
        <v>49</v>
      </c>
      <c r="AA5" s="2" t="s">
        <v>5</v>
      </c>
      <c r="AB5" s="2" t="s">
        <v>5</v>
      </c>
      <c r="AC5" s="5" t="s">
        <v>49</v>
      </c>
      <c r="AE5">
        <f t="shared" si="2"/>
        <v>3</v>
      </c>
      <c r="AF5">
        <f t="shared" si="3"/>
        <v>8</v>
      </c>
      <c r="AG5">
        <f t="shared" si="4"/>
        <v>2</v>
      </c>
      <c r="AH5">
        <f t="shared" si="5"/>
        <v>2</v>
      </c>
      <c r="AI5">
        <f t="shared" si="6"/>
        <v>2</v>
      </c>
      <c r="AJ5">
        <f t="shared" si="7"/>
        <v>2</v>
      </c>
      <c r="AK5">
        <f t="shared" si="8"/>
        <v>52</v>
      </c>
      <c r="AL5">
        <f t="shared" si="9"/>
        <v>8</v>
      </c>
      <c r="AM5">
        <f t="shared" si="10"/>
        <v>12</v>
      </c>
      <c r="AN5">
        <f t="shared" si="11"/>
        <v>16</v>
      </c>
      <c r="AO5">
        <f t="shared" si="12"/>
        <v>16</v>
      </c>
      <c r="AQ5">
        <f t="shared" si="13"/>
        <v>4</v>
      </c>
      <c r="AS5">
        <f>SUM($AG5:AG5)</f>
        <v>2</v>
      </c>
      <c r="AT5">
        <f>SUM($AG5:AH5)</f>
        <v>4</v>
      </c>
      <c r="AU5">
        <f>SUM($AG5:AI5)</f>
        <v>6</v>
      </c>
      <c r="AV5">
        <f>SUM($AG5:AJ5)</f>
        <v>8</v>
      </c>
      <c r="AX5">
        <f>SUM($AL5:AL5)</f>
        <v>8</v>
      </c>
      <c r="AY5">
        <f>SUM($AL5:AM5)</f>
        <v>20</v>
      </c>
      <c r="AZ5">
        <f>SUM($AL5:AN5)</f>
        <v>36</v>
      </c>
      <c r="BA5">
        <f>SUM($AL5:AO5)</f>
        <v>52</v>
      </c>
      <c r="BC5">
        <f t="array" ref="BC5">INDEX(DAT!$C$3:$C$26,MATCH(100*MainTour!$A5+RIGHT(BC$1,1),100*DAT!$A$3:$A$26+DAT!$B$3:$B$26,0))</f>
        <v>2</v>
      </c>
      <c r="BD5">
        <f t="array" ref="BD5">INDEX(DAT!$C$3:$C$26,MATCH(100*MainTour!$A5+RIGHT(BD$1,1),100*DAT!$A$3:$A$26+DAT!$B$3:$B$26,0))</f>
        <v>4</v>
      </c>
      <c r="BE5">
        <f t="array" ref="BE5">INDEX(DAT!$C$3:$C$26,MATCH(100*MainTour!$A5+RIGHT(BE$1,1),100*DAT!$A$3:$A$26+DAT!$B$3:$B$26,0))</f>
        <v>6</v>
      </c>
      <c r="BF5">
        <f t="array" ref="BF5">INDEX(DAT!$C$3:$C$26,MATCH(100*MainTour!$A5+RIGHT(BF$1,1),100*DAT!$A$3:$A$26+DAT!$B$3:$B$26,0))</f>
        <v>8</v>
      </c>
      <c r="BH5">
        <f t="array" ref="BH5">INDEX(DAT!$C$34:$C$57,MATCH(100*MainTour!$A5+RIGHT(BC$1,1),100*DAT!$A$34:$A$57+DAT!$B$34:$B$57,0))</f>
        <v>5</v>
      </c>
      <c r="BI5">
        <f t="array" ref="BI5">INDEX(DAT!$C$34:$C$57,MATCH(100*MainTour!$A5+RIGHT(BD$1,1),100*DAT!$A$34:$A$57+DAT!$B$34:$B$57,0))</f>
        <v>10</v>
      </c>
      <c r="BJ5">
        <f t="array" ref="BJ5">INDEX(DAT!$C$34:$C$57,MATCH(100*MainTour!$A5+RIGHT(BE$1,1),100*DAT!$A$34:$A$57+DAT!$B$34:$B$57,0))</f>
        <v>15</v>
      </c>
      <c r="BK5">
        <f t="array" ref="BK5">INDEX(DAT!$C$34:$C$57,MATCH(100*MainTour!$A5+RIGHT(BF$1,1),100*DAT!$A$34:$A$57+DAT!$B$34:$B$57,0))</f>
        <v>20</v>
      </c>
      <c r="BM5" t="b">
        <f t="shared" si="14"/>
        <v>1</v>
      </c>
      <c r="BN5" t="b">
        <f t="shared" si="15"/>
        <v>1</v>
      </c>
      <c r="BO5" t="b">
        <f t="shared" si="16"/>
        <v>1</v>
      </c>
      <c r="BP5" t="b">
        <f t="shared" si="17"/>
        <v>1</v>
      </c>
      <c r="BR5">
        <f t="array" ref="BR5">INDEX(DAT!$C$63:$C$86,MATCH(100*MainTour!$A5+RIGHT(BC$1,1),100*DAT!$A$63:$A$86+DAT!$B$63:$B$86,0))</f>
        <v>2</v>
      </c>
      <c r="BS5">
        <f t="array" ref="BS5">INDEX(DAT!$C$63:$C$86,MATCH(100*MainTour!$A5+RIGHT(BD$1,1),100*DAT!$A$63:$A$86+DAT!$B$63:$B$86,0))</f>
        <v>2</v>
      </c>
      <c r="BT5">
        <f t="array" ref="BT5">INDEX(DAT!$C$63:$C$86,MATCH(100*MainTour!$A5+RIGHT(BE$1,1),100*DAT!$A$63:$A$86+DAT!$B$63:$B$86,0))</f>
        <v>2</v>
      </c>
      <c r="BU5">
        <f t="array" ref="BU5">INDEX(DAT!$C$63:$C$86,MATCH(100*MainTour!$A5+RIGHT(BF$1,1),100*DAT!$A$63:$A$86+DAT!$B$63:$B$86,0))</f>
        <v>2</v>
      </c>
      <c r="BW5">
        <f t="array" ref="BW5">INDEX(DAT!$C$92:$C$115,MATCH(100*MainTour!$A5+RIGHT(BC$1,1),100*DAT!$A$92:$A$115+DAT!$B$92:$B$115,0))</f>
        <v>5</v>
      </c>
      <c r="BX5">
        <f t="array" ref="BX5">INDEX(DAT!$C$92:$C$115,MATCH(100*MainTour!$A5+RIGHT(BD$1,1),100*DAT!$A$92:$A$115+DAT!$B$92:$B$115,0))</f>
        <v>5</v>
      </c>
      <c r="BY5">
        <f t="array" ref="BY5">INDEX(DAT!$C$92:$C$115,MATCH(100*MainTour!$A5+RIGHT(BE$1,1),100*DAT!$A$92:$A$115+DAT!$B$92:$B$115,0))</f>
        <v>5</v>
      </c>
      <c r="BZ5">
        <f t="array" ref="BZ5">INDEX(DAT!$C$92:$C$115,MATCH(100*MainTour!$A5+RIGHT(BF$1,1),100*DAT!$A$92:$A$115+DAT!$B$92:$B$115,0))</f>
        <v>5</v>
      </c>
      <c r="CB5" t="b">
        <f t="shared" si="18"/>
        <v>1</v>
      </c>
      <c r="CC5" t="b">
        <f t="shared" si="19"/>
        <v>1</v>
      </c>
      <c r="CD5" t="b">
        <f t="shared" si="20"/>
        <v>1</v>
      </c>
      <c r="CE5" t="b">
        <f t="shared" si="21"/>
        <v>1</v>
      </c>
      <c r="CG5">
        <f t="array" ref="CG5">INDEX(DAT!$C$476:$C$499,MATCH(100*MainTour!$A5+RIGHT(BC$1,1),100*DAT!$A$476:$A$499+DAT!$B$476:$B$499,0))/2</f>
        <v>8</v>
      </c>
      <c r="CH5">
        <f t="array" ref="CH5">INDEX(DAT!$C$476:$C$499,MATCH(100*MainTour!$A5+RIGHT(BD$1,1),100*DAT!$A$476:$A$499+DAT!$B$476:$B$499,0))/2</f>
        <v>16</v>
      </c>
      <c r="CI5">
        <f t="array" ref="CI5">INDEX(DAT!$C$476:$C$499,MATCH(100*MainTour!$A5+RIGHT(BE$1,1),100*DAT!$A$476:$A$499+DAT!$B$476:$B$499,0))/2</f>
        <v>24</v>
      </c>
      <c r="CJ5">
        <f t="array" ref="CJ5">INDEX(DAT!$C$476:$C$499,MATCH(100*MainTour!$A5+RIGHT(BF$1,1),100*DAT!$A$476:$A$499+DAT!$B$476:$B$499,0))/2</f>
        <v>32</v>
      </c>
      <c r="CL5">
        <f t="array" ref="CL5">INDEX(DAT!$C$506:$C$529,MATCH(100*MainTour!$A5+RIGHT(BC$1,1),100*DAT!$A$506:$A$529+DAT!$B$506:$B$529,0))/2</f>
        <v>32</v>
      </c>
      <c r="CM5">
        <f t="array" ref="CM5">INDEX(DAT!$C$506:$C$529,MATCH(100*MainTour!$A5+RIGHT(BD$1,1),100*DAT!$A$506:$A$529+DAT!$B$506:$B$529,0))/2</f>
        <v>64</v>
      </c>
      <c r="CN5">
        <f t="array" ref="CN5">INDEX(DAT!$C$506:$C$529,MATCH(100*MainTour!$A5+RIGHT(BE$1,1),100*DAT!$A$506:$A$529+DAT!$B$506:$B$529,0))/2</f>
        <v>96</v>
      </c>
      <c r="CO5">
        <f t="array" ref="CO5">INDEX(DAT!$C$506:$C$529,MATCH(100*MainTour!$A5+RIGHT(BF$1,1),100*DAT!$A$506:$A$529+DAT!$B$506:$B$529,0))/2</f>
        <v>128</v>
      </c>
      <c r="CQ5" t="b">
        <f t="shared" si="22"/>
        <v>1</v>
      </c>
      <c r="CR5" t="b">
        <f t="shared" si="23"/>
        <v>1</v>
      </c>
      <c r="CS5" t="b">
        <f t="shared" si="24"/>
        <v>1</v>
      </c>
      <c r="CT5" t="b">
        <f t="shared" si="25"/>
        <v>1</v>
      </c>
      <c r="CV5">
        <f t="array" ref="CV5">INDEX(DAT!$C$544:$C$567,MATCH(100*MainTour!$A5+RIGHT(BC$1,1),100*DAT!$A$544:$A$567+DAT!$B$544:$B$567,0))/2</f>
        <v>8</v>
      </c>
      <c r="CW5">
        <f t="array" ref="CW5">INDEX(DAT!$C$544:$C$567,MATCH(100*MainTour!$A5+RIGHT(BD$1,1),100*DAT!$A$544:$A$567+DAT!$B$544:$B$567,0))/2</f>
        <v>8</v>
      </c>
      <c r="CX5">
        <f t="array" ref="CX5">INDEX(DAT!$C$544:$C$567,MATCH(100*MainTour!$A5+RIGHT(BE$1,1),100*DAT!$A$544:$A$567+DAT!$B$544:$B$567,0))/2</f>
        <v>8</v>
      </c>
      <c r="CY5">
        <f t="array" ref="CY5">INDEX(DAT!$C$544:$C$567,MATCH(100*MainTour!$A5+RIGHT(BF$1,1),100*DAT!$A$544:$A$567+DAT!$B$544:$B$567,0))/2</f>
        <v>8</v>
      </c>
      <c r="DA5">
        <f t="array" ref="DA5">INDEX(DAT!$C$573:$C$596,MATCH(100*MainTour!$A5+RIGHT(BC$1,1),100*DAT!$A$573:$A$596+DAT!$B$573:$B$596,0))/2</f>
        <v>32</v>
      </c>
      <c r="DB5">
        <f t="array" ref="DB5">INDEX(DAT!$C$573:$C$596,MATCH(100*MainTour!$A5+RIGHT(BD$1,1),100*DAT!$A$573:$A$596+DAT!$B$573:$B$596,0))/2</f>
        <v>32</v>
      </c>
      <c r="DC5">
        <f t="array" ref="DC5">INDEX(DAT!$C$573:$C$596,MATCH(100*MainTour!$A5+RIGHT(BE$1,1),100*DAT!$A$573:$A$596+DAT!$B$573:$B$596,0))/2</f>
        <v>32</v>
      </c>
      <c r="DD5">
        <f t="array" ref="DD5">INDEX(DAT!$C$573:$C$596,MATCH(100*MainTour!$A5+RIGHT(BF$1,1),100*DAT!$A$573:$A$596+DAT!$B$573:$B$596,0))/2</f>
        <v>32</v>
      </c>
      <c r="DF5" t="b">
        <f t="shared" si="26"/>
        <v>1</v>
      </c>
      <c r="DG5" t="b">
        <f t="shared" si="27"/>
        <v>1</v>
      </c>
      <c r="DH5" t="b">
        <f t="shared" si="28"/>
        <v>1</v>
      </c>
      <c r="DI5" t="b">
        <f t="shared" si="29"/>
        <v>1</v>
      </c>
    </row>
    <row r="6" spans="1:113" x14ac:dyDescent="0.25">
      <c r="A6" s="2">
        <v>1</v>
      </c>
      <c r="B6" s="5" t="s">
        <v>41</v>
      </c>
      <c r="C6" s="2" t="s">
        <v>48</v>
      </c>
      <c r="D6" s="2" t="s">
        <v>5</v>
      </c>
      <c r="E6" s="2" t="s">
        <v>48</v>
      </c>
      <c r="F6" s="2" t="s">
        <v>5</v>
      </c>
      <c r="G6" s="2" t="s">
        <v>5</v>
      </c>
      <c r="H6" s="5" t="s">
        <v>5</v>
      </c>
      <c r="I6" s="5" t="s">
        <v>5</v>
      </c>
      <c r="J6" s="2" t="s">
        <v>5</v>
      </c>
      <c r="K6" s="2" t="s">
        <v>5</v>
      </c>
      <c r="L6" s="2" t="s">
        <v>5</v>
      </c>
      <c r="M6" s="2" t="s">
        <v>5</v>
      </c>
      <c r="N6" s="2" t="s">
        <v>48</v>
      </c>
      <c r="O6" s="5" t="s">
        <v>48</v>
      </c>
      <c r="P6" s="5" t="s">
        <v>48</v>
      </c>
      <c r="Q6" s="2" t="s">
        <v>5</v>
      </c>
      <c r="R6" s="2" t="s">
        <v>5</v>
      </c>
      <c r="S6" s="2" t="s">
        <v>48</v>
      </c>
      <c r="T6" s="2" t="s">
        <v>5</v>
      </c>
      <c r="U6" s="2" t="s">
        <v>48</v>
      </c>
      <c r="V6" s="5" t="s">
        <v>5</v>
      </c>
      <c r="W6" s="5" t="s">
        <v>5</v>
      </c>
      <c r="X6" s="2" t="s">
        <v>5</v>
      </c>
      <c r="Y6" s="2" t="s">
        <v>5</v>
      </c>
      <c r="Z6" s="2" t="s">
        <v>5</v>
      </c>
      <c r="AA6" s="2" t="s">
        <v>49</v>
      </c>
      <c r="AB6" s="2" t="s">
        <v>48</v>
      </c>
      <c r="AC6" s="5" t="s">
        <v>48</v>
      </c>
      <c r="AE6">
        <f t="shared" si="2"/>
        <v>5</v>
      </c>
      <c r="AF6">
        <f t="shared" si="3"/>
        <v>11</v>
      </c>
      <c r="AG6">
        <f t="shared" si="4"/>
        <v>3</v>
      </c>
      <c r="AH6">
        <f t="shared" si="5"/>
        <v>2</v>
      </c>
      <c r="AI6">
        <f t="shared" si="6"/>
        <v>3</v>
      </c>
      <c r="AJ6">
        <f t="shared" si="7"/>
        <v>3</v>
      </c>
      <c r="AK6">
        <f t="shared" si="8"/>
        <v>52</v>
      </c>
      <c r="AL6">
        <f t="shared" si="9"/>
        <v>16</v>
      </c>
      <c r="AM6">
        <f t="shared" si="10"/>
        <v>8</v>
      </c>
      <c r="AN6">
        <f t="shared" si="11"/>
        <v>12</v>
      </c>
      <c r="AO6">
        <f t="shared" si="12"/>
        <v>16</v>
      </c>
      <c r="AQ6">
        <f t="shared" si="13"/>
        <v>4</v>
      </c>
      <c r="AS6">
        <f>SUM($AG6:AG6)</f>
        <v>3</v>
      </c>
      <c r="AT6">
        <f>SUM($AG6:AH6)</f>
        <v>5</v>
      </c>
      <c r="AU6">
        <f>SUM($AG6:AI6)</f>
        <v>8</v>
      </c>
      <c r="AV6">
        <f>SUM($AG6:AJ6)</f>
        <v>11</v>
      </c>
      <c r="AX6">
        <f>SUM($AL6:AL6)</f>
        <v>16</v>
      </c>
      <c r="AY6">
        <f>SUM($AL6:AM6)</f>
        <v>24</v>
      </c>
      <c r="AZ6">
        <f>SUM($AL6:AN6)</f>
        <v>36</v>
      </c>
      <c r="BA6">
        <f>SUM($AL6:AO6)</f>
        <v>52</v>
      </c>
      <c r="BC6">
        <f t="array" ref="BC6">INDEX(DAT!$C$3:$C$26,MATCH(100*MainTour!$A6+RIGHT(BC$1,1),100*DAT!$A$3:$A$26+DAT!$B$3:$B$26,0))</f>
        <v>2</v>
      </c>
      <c r="BD6">
        <f t="array" ref="BD6">INDEX(DAT!$C$3:$C$26,MATCH(100*MainTour!$A6+RIGHT(BD$1,1),100*DAT!$A$3:$A$26+DAT!$B$3:$B$26,0))</f>
        <v>4</v>
      </c>
      <c r="BE6">
        <f t="array" ref="BE6">INDEX(DAT!$C$3:$C$26,MATCH(100*MainTour!$A6+RIGHT(BE$1,1),100*DAT!$A$3:$A$26+DAT!$B$3:$B$26,0))</f>
        <v>6</v>
      </c>
      <c r="BF6">
        <f t="array" ref="BF6">INDEX(DAT!$C$3:$C$26,MATCH(100*MainTour!$A6+RIGHT(BF$1,1),100*DAT!$A$3:$A$26+DAT!$B$3:$B$26,0))</f>
        <v>8</v>
      </c>
      <c r="BH6">
        <f t="array" ref="BH6">INDEX(DAT!$C$34:$C$57,MATCH(100*MainTour!$A6+RIGHT(BC$1,1),100*DAT!$A$34:$A$57+DAT!$B$34:$B$57,0))</f>
        <v>5</v>
      </c>
      <c r="BI6">
        <f t="array" ref="BI6">INDEX(DAT!$C$34:$C$57,MATCH(100*MainTour!$A6+RIGHT(BD$1,1),100*DAT!$A$34:$A$57+DAT!$B$34:$B$57,0))</f>
        <v>10</v>
      </c>
      <c r="BJ6">
        <f t="array" ref="BJ6">INDEX(DAT!$C$34:$C$57,MATCH(100*MainTour!$A6+RIGHT(BE$1,1),100*DAT!$A$34:$A$57+DAT!$B$34:$B$57,0))</f>
        <v>15</v>
      </c>
      <c r="BK6">
        <f t="array" ref="BK6">INDEX(DAT!$C$34:$C$57,MATCH(100*MainTour!$A6+RIGHT(BF$1,1),100*DAT!$A$34:$A$57+DAT!$B$34:$B$57,0))</f>
        <v>20</v>
      </c>
      <c r="BM6" t="b">
        <f t="shared" si="14"/>
        <v>1</v>
      </c>
      <c r="BN6" t="b">
        <f t="shared" si="15"/>
        <v>1</v>
      </c>
      <c r="BO6" t="b">
        <f t="shared" si="16"/>
        <v>1</v>
      </c>
      <c r="BP6" t="b">
        <f t="shared" si="17"/>
        <v>1</v>
      </c>
      <c r="BR6">
        <f t="array" ref="BR6">INDEX(DAT!$C$63:$C$86,MATCH(100*MainTour!$A6+RIGHT(BC$1,1),100*DAT!$A$63:$A$86+DAT!$B$63:$B$86,0))</f>
        <v>2</v>
      </c>
      <c r="BS6">
        <f t="array" ref="BS6">INDEX(DAT!$C$63:$C$86,MATCH(100*MainTour!$A6+RIGHT(BD$1,1),100*DAT!$A$63:$A$86+DAT!$B$63:$B$86,0))</f>
        <v>2</v>
      </c>
      <c r="BT6">
        <f t="array" ref="BT6">INDEX(DAT!$C$63:$C$86,MATCH(100*MainTour!$A6+RIGHT(BE$1,1),100*DAT!$A$63:$A$86+DAT!$B$63:$B$86,0))</f>
        <v>2</v>
      </c>
      <c r="BU6">
        <f t="array" ref="BU6">INDEX(DAT!$C$63:$C$86,MATCH(100*MainTour!$A6+RIGHT(BF$1,1),100*DAT!$A$63:$A$86+DAT!$B$63:$B$86,0))</f>
        <v>2</v>
      </c>
      <c r="BW6">
        <f t="array" ref="BW6">INDEX(DAT!$C$92:$C$115,MATCH(100*MainTour!$A6+RIGHT(BC$1,1),100*DAT!$A$92:$A$115+DAT!$B$92:$B$115,0))</f>
        <v>5</v>
      </c>
      <c r="BX6">
        <f t="array" ref="BX6">INDEX(DAT!$C$92:$C$115,MATCH(100*MainTour!$A6+RIGHT(BD$1,1),100*DAT!$A$92:$A$115+DAT!$B$92:$B$115,0))</f>
        <v>5</v>
      </c>
      <c r="BY6">
        <f t="array" ref="BY6">INDEX(DAT!$C$92:$C$115,MATCH(100*MainTour!$A6+RIGHT(BE$1,1),100*DAT!$A$92:$A$115+DAT!$B$92:$B$115,0))</f>
        <v>5</v>
      </c>
      <c r="BZ6">
        <f t="array" ref="BZ6">INDEX(DAT!$C$92:$C$115,MATCH(100*MainTour!$A6+RIGHT(BF$1,1),100*DAT!$A$92:$A$115+DAT!$B$92:$B$115,0))</f>
        <v>5</v>
      </c>
      <c r="CB6" t="b">
        <f t="shared" si="18"/>
        <v>1</v>
      </c>
      <c r="CC6" t="b">
        <f t="shared" si="19"/>
        <v>1</v>
      </c>
      <c r="CD6" t="b">
        <f t="shared" si="20"/>
        <v>1</v>
      </c>
      <c r="CE6" t="b">
        <f t="shared" si="21"/>
        <v>1</v>
      </c>
      <c r="CG6">
        <f t="array" ref="CG6">INDEX(DAT!$C$476:$C$499,MATCH(100*MainTour!$A6+RIGHT(BC$1,1),100*DAT!$A$476:$A$499+DAT!$B$476:$B$499,0))/2</f>
        <v>8</v>
      </c>
      <c r="CH6">
        <f t="array" ref="CH6">INDEX(DAT!$C$476:$C$499,MATCH(100*MainTour!$A6+RIGHT(BD$1,1),100*DAT!$A$476:$A$499+DAT!$B$476:$B$499,0))/2</f>
        <v>16</v>
      </c>
      <c r="CI6">
        <f t="array" ref="CI6">INDEX(DAT!$C$476:$C$499,MATCH(100*MainTour!$A6+RIGHT(BE$1,1),100*DAT!$A$476:$A$499+DAT!$B$476:$B$499,0))/2</f>
        <v>24</v>
      </c>
      <c r="CJ6">
        <f t="array" ref="CJ6">INDEX(DAT!$C$476:$C$499,MATCH(100*MainTour!$A6+RIGHT(BF$1,1),100*DAT!$A$476:$A$499+DAT!$B$476:$B$499,0))/2</f>
        <v>32</v>
      </c>
      <c r="CL6">
        <f t="array" ref="CL6">INDEX(DAT!$C$506:$C$529,MATCH(100*MainTour!$A6+RIGHT(BC$1,1),100*DAT!$A$506:$A$529+DAT!$B$506:$B$529,0))/2</f>
        <v>32</v>
      </c>
      <c r="CM6">
        <f t="array" ref="CM6">INDEX(DAT!$C$506:$C$529,MATCH(100*MainTour!$A6+RIGHT(BD$1,1),100*DAT!$A$506:$A$529+DAT!$B$506:$B$529,0))/2</f>
        <v>64</v>
      </c>
      <c r="CN6">
        <f t="array" ref="CN6">INDEX(DAT!$C$506:$C$529,MATCH(100*MainTour!$A6+RIGHT(BE$1,1),100*DAT!$A$506:$A$529+DAT!$B$506:$B$529,0))/2</f>
        <v>96</v>
      </c>
      <c r="CO6">
        <f t="array" ref="CO6">INDEX(DAT!$C$506:$C$529,MATCH(100*MainTour!$A6+RIGHT(BF$1,1),100*DAT!$A$506:$A$529+DAT!$B$506:$B$529,0))/2</f>
        <v>128</v>
      </c>
      <c r="CQ6" t="b">
        <f t="shared" si="22"/>
        <v>1</v>
      </c>
      <c r="CR6" t="b">
        <f t="shared" si="23"/>
        <v>1</v>
      </c>
      <c r="CS6" t="b">
        <f t="shared" si="24"/>
        <v>1</v>
      </c>
      <c r="CT6" t="b">
        <f t="shared" si="25"/>
        <v>1</v>
      </c>
      <c r="CV6">
        <f t="array" ref="CV6">INDEX(DAT!$C$544:$C$567,MATCH(100*MainTour!$A6+RIGHT(BC$1,1),100*DAT!$A$544:$A$567+DAT!$B$544:$B$567,0))/2</f>
        <v>8</v>
      </c>
      <c r="CW6">
        <f t="array" ref="CW6">INDEX(DAT!$C$544:$C$567,MATCH(100*MainTour!$A6+RIGHT(BD$1,1),100*DAT!$A$544:$A$567+DAT!$B$544:$B$567,0))/2</f>
        <v>8</v>
      </c>
      <c r="CX6">
        <f t="array" ref="CX6">INDEX(DAT!$C$544:$C$567,MATCH(100*MainTour!$A6+RIGHT(BE$1,1),100*DAT!$A$544:$A$567+DAT!$B$544:$B$567,0))/2</f>
        <v>8</v>
      </c>
      <c r="CY6">
        <f t="array" ref="CY6">INDEX(DAT!$C$544:$C$567,MATCH(100*MainTour!$A6+RIGHT(BF$1,1),100*DAT!$A$544:$A$567+DAT!$B$544:$B$567,0))/2</f>
        <v>8</v>
      </c>
      <c r="DA6">
        <f t="array" ref="DA6">INDEX(DAT!$C$573:$C$596,MATCH(100*MainTour!$A6+RIGHT(BC$1,1),100*DAT!$A$573:$A$596+DAT!$B$573:$B$596,0))/2</f>
        <v>32</v>
      </c>
      <c r="DB6">
        <f t="array" ref="DB6">INDEX(DAT!$C$573:$C$596,MATCH(100*MainTour!$A6+RIGHT(BD$1,1),100*DAT!$A$573:$A$596+DAT!$B$573:$B$596,0))/2</f>
        <v>32</v>
      </c>
      <c r="DC6">
        <f t="array" ref="DC6">INDEX(DAT!$C$573:$C$596,MATCH(100*MainTour!$A6+RIGHT(BE$1,1),100*DAT!$A$573:$A$596+DAT!$B$573:$B$596,0))/2</f>
        <v>32</v>
      </c>
      <c r="DD6">
        <f t="array" ref="DD6">INDEX(DAT!$C$573:$C$596,MATCH(100*MainTour!$A6+RIGHT(BF$1,1),100*DAT!$A$573:$A$596+DAT!$B$573:$B$596,0))/2</f>
        <v>32</v>
      </c>
      <c r="DF6" t="b">
        <f t="shared" si="26"/>
        <v>1</v>
      </c>
      <c r="DG6" t="b">
        <f t="shared" si="27"/>
        <v>1</v>
      </c>
      <c r="DH6" t="b">
        <f t="shared" si="28"/>
        <v>1</v>
      </c>
      <c r="DI6" t="b">
        <f t="shared" si="29"/>
        <v>1</v>
      </c>
    </row>
    <row r="7" spans="1:113" x14ac:dyDescent="0.25">
      <c r="A7" s="2">
        <v>4</v>
      </c>
      <c r="B7" s="5" t="s">
        <v>1</v>
      </c>
      <c r="C7" s="2" t="s">
        <v>5</v>
      </c>
      <c r="D7" s="2" t="s">
        <v>50</v>
      </c>
      <c r="E7" s="2" t="s">
        <v>5</v>
      </c>
      <c r="F7" s="2" t="s">
        <v>50</v>
      </c>
      <c r="G7" s="2" t="s">
        <v>50</v>
      </c>
      <c r="H7" s="5" t="s">
        <v>50</v>
      </c>
      <c r="I7" s="5" t="s">
        <v>50</v>
      </c>
      <c r="J7" s="2" t="s">
        <v>5</v>
      </c>
      <c r="K7" s="2" t="s">
        <v>5</v>
      </c>
      <c r="L7" s="2" t="s">
        <v>50</v>
      </c>
      <c r="M7" s="2" t="s">
        <v>50</v>
      </c>
      <c r="N7" s="2" t="s">
        <v>50</v>
      </c>
      <c r="O7" s="5" t="s">
        <v>5</v>
      </c>
      <c r="P7" s="5" t="s">
        <v>5</v>
      </c>
      <c r="Q7" s="2" t="s">
        <v>50</v>
      </c>
      <c r="R7" s="2" t="s">
        <v>50</v>
      </c>
      <c r="S7" s="2" t="s">
        <v>50</v>
      </c>
      <c r="T7" s="2" t="s">
        <v>5</v>
      </c>
      <c r="U7" s="2" t="s">
        <v>5</v>
      </c>
      <c r="V7" s="5" t="s">
        <v>50</v>
      </c>
      <c r="W7" s="5" t="s">
        <v>50</v>
      </c>
      <c r="X7" s="2" t="s">
        <v>50</v>
      </c>
      <c r="Y7" s="2" t="s">
        <v>50</v>
      </c>
      <c r="Z7" s="2" t="s">
        <v>5</v>
      </c>
      <c r="AA7" s="2" t="s">
        <v>50</v>
      </c>
      <c r="AB7" s="2" t="s">
        <v>5</v>
      </c>
      <c r="AC7" s="5" t="s">
        <v>5</v>
      </c>
      <c r="AE7">
        <f t="shared" si="2"/>
        <v>4</v>
      </c>
      <c r="AF7">
        <f t="shared" si="3"/>
        <v>16</v>
      </c>
      <c r="AG7">
        <f t="shared" si="4"/>
        <v>4</v>
      </c>
      <c r="AH7">
        <f t="shared" si="5"/>
        <v>4</v>
      </c>
      <c r="AI7">
        <f t="shared" si="6"/>
        <v>4</v>
      </c>
      <c r="AJ7">
        <f t="shared" si="7"/>
        <v>4</v>
      </c>
      <c r="AK7">
        <f t="shared" si="8"/>
        <v>160</v>
      </c>
      <c r="AL7">
        <f t="shared" si="9"/>
        <v>40</v>
      </c>
      <c r="AM7">
        <f t="shared" si="10"/>
        <v>40</v>
      </c>
      <c r="AN7">
        <f t="shared" si="11"/>
        <v>40</v>
      </c>
      <c r="AO7">
        <f t="shared" si="12"/>
        <v>40</v>
      </c>
      <c r="AQ7">
        <f t="shared" si="13"/>
        <v>4</v>
      </c>
      <c r="AS7">
        <f>SUM($AG7:AG7)</f>
        <v>4</v>
      </c>
      <c r="AT7">
        <f>SUM($AG7:AH7)</f>
        <v>8</v>
      </c>
      <c r="AU7">
        <f>SUM($AG7:AI7)</f>
        <v>12</v>
      </c>
      <c r="AV7">
        <f>SUM($AG7:AJ7)</f>
        <v>16</v>
      </c>
      <c r="AX7">
        <f>SUM($AL7:AL7)</f>
        <v>40</v>
      </c>
      <c r="AY7">
        <f>SUM($AL7:AM7)</f>
        <v>80</v>
      </c>
      <c r="AZ7">
        <f>SUM($AL7:AN7)</f>
        <v>120</v>
      </c>
      <c r="BA7">
        <f>SUM($AL7:AO7)</f>
        <v>160</v>
      </c>
      <c r="BC7">
        <f t="array" ref="BC7">INDEX(DAT!$C$3:$C$26,MATCH(100*MainTour!$A7+RIGHT(BC$1,1),100*DAT!$A$3:$A$26+DAT!$B$3:$B$26,0))</f>
        <v>4</v>
      </c>
      <c r="BD7">
        <f t="array" ref="BD7">INDEX(DAT!$C$3:$C$26,MATCH(100*MainTour!$A7+RIGHT(BD$1,1),100*DAT!$A$3:$A$26+DAT!$B$3:$B$26,0))</f>
        <v>8</v>
      </c>
      <c r="BE7">
        <f t="array" ref="BE7">INDEX(DAT!$C$3:$C$26,MATCH(100*MainTour!$A7+RIGHT(BE$1,1),100*DAT!$A$3:$A$26+DAT!$B$3:$B$26,0))</f>
        <v>12</v>
      </c>
      <c r="BF7">
        <f t="array" ref="BF7">INDEX(DAT!$C$3:$C$26,MATCH(100*MainTour!$A7+RIGHT(BF$1,1),100*DAT!$A$3:$A$26+DAT!$B$3:$B$26,0))</f>
        <v>16</v>
      </c>
      <c r="BH7">
        <f t="array" ref="BH7">INDEX(DAT!$C$34:$C$57,MATCH(100*MainTour!$A7+RIGHT(BC$1,1),100*DAT!$A$34:$A$57+DAT!$B$34:$B$57,0))</f>
        <v>4</v>
      </c>
      <c r="BI7">
        <f t="array" ref="BI7">INDEX(DAT!$C$34:$C$57,MATCH(100*MainTour!$A7+RIGHT(BD$1,1),100*DAT!$A$34:$A$57+DAT!$B$34:$B$57,0))</f>
        <v>8</v>
      </c>
      <c r="BJ7">
        <f t="array" ref="BJ7">INDEX(DAT!$C$34:$C$57,MATCH(100*MainTour!$A7+RIGHT(BE$1,1),100*DAT!$A$34:$A$57+DAT!$B$34:$B$57,0))</f>
        <v>12</v>
      </c>
      <c r="BK7">
        <f t="array" ref="BK7">INDEX(DAT!$C$34:$C$57,MATCH(100*MainTour!$A7+RIGHT(BF$1,1),100*DAT!$A$34:$A$57+DAT!$B$34:$B$57,0))</f>
        <v>16</v>
      </c>
      <c r="BM7" t="b">
        <f t="shared" si="14"/>
        <v>1</v>
      </c>
      <c r="BN7" t="b">
        <f t="shared" si="15"/>
        <v>1</v>
      </c>
      <c r="BO7" t="b">
        <f t="shared" si="16"/>
        <v>1</v>
      </c>
      <c r="BP7" t="b">
        <f t="shared" si="17"/>
        <v>1</v>
      </c>
      <c r="BR7">
        <f t="array" ref="BR7">INDEX(DAT!$C$63:$C$86,MATCH(100*MainTour!$A7+RIGHT(BC$1,1),100*DAT!$A$63:$A$86+DAT!$B$63:$B$86,0))</f>
        <v>4</v>
      </c>
      <c r="BS7">
        <f t="array" ref="BS7">INDEX(DAT!$C$63:$C$86,MATCH(100*MainTour!$A7+RIGHT(BD$1,1),100*DAT!$A$63:$A$86+DAT!$B$63:$B$86,0))</f>
        <v>4</v>
      </c>
      <c r="BT7">
        <f t="array" ref="BT7">INDEX(DAT!$C$63:$C$86,MATCH(100*MainTour!$A7+RIGHT(BE$1,1),100*DAT!$A$63:$A$86+DAT!$B$63:$B$86,0))</f>
        <v>4</v>
      </c>
      <c r="BU7">
        <f t="array" ref="BU7">INDEX(DAT!$C$63:$C$86,MATCH(100*MainTour!$A7+RIGHT(BF$1,1),100*DAT!$A$63:$A$86+DAT!$B$63:$B$86,0))</f>
        <v>4</v>
      </c>
      <c r="BW7">
        <f t="array" ref="BW7">INDEX(DAT!$C$92:$C$115,MATCH(100*MainTour!$A7+RIGHT(BC$1,1),100*DAT!$A$92:$A$115+DAT!$B$92:$B$115,0))</f>
        <v>4</v>
      </c>
      <c r="BX7">
        <f t="array" ref="BX7">INDEX(DAT!$C$92:$C$115,MATCH(100*MainTour!$A7+RIGHT(BD$1,1),100*DAT!$A$92:$A$115+DAT!$B$92:$B$115,0))</f>
        <v>4</v>
      </c>
      <c r="BY7">
        <f t="array" ref="BY7">INDEX(DAT!$C$92:$C$115,MATCH(100*MainTour!$A7+RIGHT(BE$1,1),100*DAT!$A$92:$A$115+DAT!$B$92:$B$115,0))</f>
        <v>4</v>
      </c>
      <c r="BZ7">
        <f t="array" ref="BZ7">INDEX(DAT!$C$92:$C$115,MATCH(100*MainTour!$A7+RIGHT(BF$1,1),100*DAT!$A$92:$A$115+DAT!$B$92:$B$115,0))</f>
        <v>4</v>
      </c>
      <c r="CB7" t="b">
        <f t="shared" si="18"/>
        <v>1</v>
      </c>
      <c r="CC7" t="b">
        <f t="shared" si="19"/>
        <v>1</v>
      </c>
      <c r="CD7" t="b">
        <f t="shared" si="20"/>
        <v>1</v>
      </c>
      <c r="CE7" t="b">
        <f t="shared" si="21"/>
        <v>1</v>
      </c>
      <c r="CG7">
        <f t="array" ref="CG7">INDEX(DAT!$C$476:$C$499,MATCH(100*MainTour!$A7+RIGHT(BC$1,1),100*DAT!$A$476:$A$499+DAT!$B$476:$B$499,0))/2</f>
        <v>40</v>
      </c>
      <c r="CH7">
        <f t="array" ref="CH7">INDEX(DAT!$C$476:$C$499,MATCH(100*MainTour!$A7+RIGHT(BD$1,1),100*DAT!$A$476:$A$499+DAT!$B$476:$B$499,0))/2</f>
        <v>80</v>
      </c>
      <c r="CI7">
        <f t="array" ref="CI7">INDEX(DAT!$C$476:$C$499,MATCH(100*MainTour!$A7+RIGHT(BE$1,1),100*DAT!$A$476:$A$499+DAT!$B$476:$B$499,0))/2</f>
        <v>120</v>
      </c>
      <c r="CJ7">
        <f t="array" ref="CJ7">INDEX(DAT!$C$476:$C$499,MATCH(100*MainTour!$A7+RIGHT(BF$1,1),100*DAT!$A$476:$A$499+DAT!$B$476:$B$499,0))/2</f>
        <v>160</v>
      </c>
      <c r="CL7">
        <f t="array" ref="CL7">INDEX(DAT!$C$506:$C$529,MATCH(100*MainTour!$A7+RIGHT(BC$1,1),100*DAT!$A$506:$A$529+DAT!$B$506:$B$529,0))/2</f>
        <v>40</v>
      </c>
      <c r="CM7">
        <f t="array" ref="CM7">INDEX(DAT!$C$506:$C$529,MATCH(100*MainTour!$A7+RIGHT(BD$1,1),100*DAT!$A$506:$A$529+DAT!$B$506:$B$529,0))/2</f>
        <v>80</v>
      </c>
      <c r="CN7">
        <f t="array" ref="CN7">INDEX(DAT!$C$506:$C$529,MATCH(100*MainTour!$A7+RIGHT(BE$1,1),100*DAT!$A$506:$A$529+DAT!$B$506:$B$529,0))/2</f>
        <v>120</v>
      </c>
      <c r="CO7">
        <f t="array" ref="CO7">INDEX(DAT!$C$506:$C$529,MATCH(100*MainTour!$A7+RIGHT(BF$1,1),100*DAT!$A$506:$A$529+DAT!$B$506:$B$529,0))/2</f>
        <v>160</v>
      </c>
      <c r="CQ7" t="b">
        <f t="shared" si="22"/>
        <v>1</v>
      </c>
      <c r="CR7" t="b">
        <f t="shared" si="23"/>
        <v>1</v>
      </c>
      <c r="CS7" t="b">
        <f t="shared" si="24"/>
        <v>1</v>
      </c>
      <c r="CT7" t="b">
        <f t="shared" si="25"/>
        <v>1</v>
      </c>
      <c r="CV7">
        <f t="array" ref="CV7">INDEX(DAT!$C$544:$C$567,MATCH(100*MainTour!$A7+RIGHT(BC$1,1),100*DAT!$A$544:$A$567+DAT!$B$544:$B$567,0))/2</f>
        <v>40</v>
      </c>
      <c r="CW7">
        <f t="array" ref="CW7">INDEX(DAT!$C$544:$C$567,MATCH(100*MainTour!$A7+RIGHT(BD$1,1),100*DAT!$A$544:$A$567+DAT!$B$544:$B$567,0))/2</f>
        <v>40</v>
      </c>
      <c r="CX7">
        <f t="array" ref="CX7">INDEX(DAT!$C$544:$C$567,MATCH(100*MainTour!$A7+RIGHT(BE$1,1),100*DAT!$A$544:$A$567+DAT!$B$544:$B$567,0))/2</f>
        <v>40</v>
      </c>
      <c r="CY7">
        <f t="array" ref="CY7">INDEX(DAT!$C$544:$C$567,MATCH(100*MainTour!$A7+RIGHT(BF$1,1),100*DAT!$A$544:$A$567+DAT!$B$544:$B$567,0))/2</f>
        <v>40</v>
      </c>
      <c r="DA7">
        <f t="array" ref="DA7">INDEX(DAT!$C$573:$C$596,MATCH(100*MainTour!$A7+RIGHT(BC$1,1),100*DAT!$A$573:$A$596+DAT!$B$573:$B$596,0))/2</f>
        <v>40</v>
      </c>
      <c r="DB7">
        <f t="array" ref="DB7">INDEX(DAT!$C$573:$C$596,MATCH(100*MainTour!$A7+RIGHT(BD$1,1),100*DAT!$A$573:$A$596+DAT!$B$573:$B$596,0))/2</f>
        <v>40</v>
      </c>
      <c r="DC7">
        <f t="array" ref="DC7">INDEX(DAT!$C$573:$C$596,MATCH(100*MainTour!$A7+RIGHT(BE$1,1),100*DAT!$A$573:$A$596+DAT!$B$573:$B$596,0))/2</f>
        <v>40</v>
      </c>
      <c r="DD7">
        <f t="array" ref="DD7">INDEX(DAT!$C$573:$C$596,MATCH(100*MainTour!$A7+RIGHT(BF$1,1),100*DAT!$A$573:$A$596+DAT!$B$573:$B$596,0))/2</f>
        <v>40</v>
      </c>
      <c r="DF7" t="b">
        <f t="shared" si="26"/>
        <v>1</v>
      </c>
      <c r="DG7" t="b">
        <f t="shared" si="27"/>
        <v>1</v>
      </c>
      <c r="DH7" t="b">
        <f t="shared" si="28"/>
        <v>1</v>
      </c>
      <c r="DI7" t="b">
        <f t="shared" si="29"/>
        <v>1</v>
      </c>
    </row>
    <row r="8" spans="1:113" x14ac:dyDescent="0.25">
      <c r="A8" s="2">
        <v>4</v>
      </c>
      <c r="B8" s="5" t="s">
        <v>42</v>
      </c>
      <c r="C8" s="2" t="s">
        <v>5</v>
      </c>
      <c r="D8" s="2" t="s">
        <v>5</v>
      </c>
      <c r="E8" s="2" t="s">
        <v>50</v>
      </c>
      <c r="F8" s="2" t="s">
        <v>50</v>
      </c>
      <c r="G8" s="2" t="s">
        <v>50</v>
      </c>
      <c r="H8" s="5" t="s">
        <v>5</v>
      </c>
      <c r="I8" s="5" t="s">
        <v>5</v>
      </c>
      <c r="J8" s="2" t="s">
        <v>50</v>
      </c>
      <c r="K8" s="2" t="s">
        <v>5</v>
      </c>
      <c r="L8" s="2" t="s">
        <v>50</v>
      </c>
      <c r="M8" s="2" t="s">
        <v>5</v>
      </c>
      <c r="N8" s="2" t="s">
        <v>50</v>
      </c>
      <c r="O8" s="5" t="s">
        <v>50</v>
      </c>
      <c r="P8" s="5" t="s">
        <v>50</v>
      </c>
      <c r="Q8" s="2" t="s">
        <v>5</v>
      </c>
      <c r="R8" s="2" t="s">
        <v>50</v>
      </c>
      <c r="S8" s="2" t="s">
        <v>50</v>
      </c>
      <c r="T8" s="2" t="s">
        <v>50</v>
      </c>
      <c r="U8" s="2" t="s">
        <v>5</v>
      </c>
      <c r="V8" s="5" t="s">
        <v>5</v>
      </c>
      <c r="W8" s="5" t="s">
        <v>5</v>
      </c>
      <c r="X8" s="2" t="s">
        <v>5</v>
      </c>
      <c r="Y8" s="2" t="s">
        <v>50</v>
      </c>
      <c r="Z8" s="2" t="s">
        <v>5</v>
      </c>
      <c r="AA8" s="2" t="s">
        <v>50</v>
      </c>
      <c r="AB8" s="2" t="s">
        <v>50</v>
      </c>
      <c r="AC8" s="5" t="s">
        <v>50</v>
      </c>
      <c r="AE8">
        <f t="shared" si="2"/>
        <v>4</v>
      </c>
      <c r="AF8">
        <f t="shared" si="3"/>
        <v>16</v>
      </c>
      <c r="AG8">
        <f t="shared" si="4"/>
        <v>4</v>
      </c>
      <c r="AH8">
        <f t="shared" si="5"/>
        <v>4</v>
      </c>
      <c r="AI8">
        <f t="shared" si="6"/>
        <v>4</v>
      </c>
      <c r="AJ8">
        <f t="shared" si="7"/>
        <v>4</v>
      </c>
      <c r="AK8">
        <f t="shared" si="8"/>
        <v>160</v>
      </c>
      <c r="AL8">
        <f t="shared" si="9"/>
        <v>40</v>
      </c>
      <c r="AM8">
        <f t="shared" si="10"/>
        <v>40</v>
      </c>
      <c r="AN8">
        <f t="shared" si="11"/>
        <v>40</v>
      </c>
      <c r="AO8">
        <f t="shared" si="12"/>
        <v>40</v>
      </c>
      <c r="AQ8">
        <f t="shared" si="13"/>
        <v>4</v>
      </c>
      <c r="AS8">
        <f>SUM($AG8:AG8)</f>
        <v>4</v>
      </c>
      <c r="AT8">
        <f>SUM($AG8:AH8)</f>
        <v>8</v>
      </c>
      <c r="AU8">
        <f>SUM($AG8:AI8)</f>
        <v>12</v>
      </c>
      <c r="AV8">
        <f>SUM($AG8:AJ8)</f>
        <v>16</v>
      </c>
      <c r="AX8">
        <f>SUM($AL8:AL8)</f>
        <v>40</v>
      </c>
      <c r="AY8">
        <f>SUM($AL8:AM8)</f>
        <v>80</v>
      </c>
      <c r="AZ8">
        <f>SUM($AL8:AN8)</f>
        <v>120</v>
      </c>
      <c r="BA8">
        <f>SUM($AL8:AO8)</f>
        <v>160</v>
      </c>
      <c r="BC8">
        <f t="array" ref="BC8">INDEX(DAT!$C$3:$C$26,MATCH(100*MainTour!$A8+RIGHT(BC$1,1),100*DAT!$A$3:$A$26+DAT!$B$3:$B$26,0))</f>
        <v>4</v>
      </c>
      <c r="BD8">
        <f t="array" ref="BD8">INDEX(DAT!$C$3:$C$26,MATCH(100*MainTour!$A8+RIGHT(BD$1,1),100*DAT!$A$3:$A$26+DAT!$B$3:$B$26,0))</f>
        <v>8</v>
      </c>
      <c r="BE8">
        <f t="array" ref="BE8">INDEX(DAT!$C$3:$C$26,MATCH(100*MainTour!$A8+RIGHT(BE$1,1),100*DAT!$A$3:$A$26+DAT!$B$3:$B$26,0))</f>
        <v>12</v>
      </c>
      <c r="BF8">
        <f t="array" ref="BF8">INDEX(DAT!$C$3:$C$26,MATCH(100*MainTour!$A8+RIGHT(BF$1,1),100*DAT!$A$3:$A$26+DAT!$B$3:$B$26,0))</f>
        <v>16</v>
      </c>
      <c r="BH8">
        <f t="array" ref="BH8">INDEX(DAT!$C$34:$C$57,MATCH(100*MainTour!$A8+RIGHT(BC$1,1),100*DAT!$A$34:$A$57+DAT!$B$34:$B$57,0))</f>
        <v>4</v>
      </c>
      <c r="BI8">
        <f t="array" ref="BI8">INDEX(DAT!$C$34:$C$57,MATCH(100*MainTour!$A8+RIGHT(BD$1,1),100*DAT!$A$34:$A$57+DAT!$B$34:$B$57,0))</f>
        <v>8</v>
      </c>
      <c r="BJ8">
        <f t="array" ref="BJ8">INDEX(DAT!$C$34:$C$57,MATCH(100*MainTour!$A8+RIGHT(BE$1,1),100*DAT!$A$34:$A$57+DAT!$B$34:$B$57,0))</f>
        <v>12</v>
      </c>
      <c r="BK8">
        <f t="array" ref="BK8">INDEX(DAT!$C$34:$C$57,MATCH(100*MainTour!$A8+RIGHT(BF$1,1),100*DAT!$A$34:$A$57+DAT!$B$34:$B$57,0))</f>
        <v>16</v>
      </c>
      <c r="BM8" t="b">
        <f t="shared" si="14"/>
        <v>1</v>
      </c>
      <c r="BN8" t="b">
        <f t="shared" si="15"/>
        <v>1</v>
      </c>
      <c r="BO8" t="b">
        <f t="shared" si="16"/>
        <v>1</v>
      </c>
      <c r="BP8" t="b">
        <f t="shared" si="17"/>
        <v>1</v>
      </c>
      <c r="BR8">
        <f t="array" ref="BR8">INDEX(DAT!$C$63:$C$86,MATCH(100*MainTour!$A8+RIGHT(BC$1,1),100*DAT!$A$63:$A$86+DAT!$B$63:$B$86,0))</f>
        <v>4</v>
      </c>
      <c r="BS8">
        <f t="array" ref="BS8">INDEX(DAT!$C$63:$C$86,MATCH(100*MainTour!$A8+RIGHT(BD$1,1),100*DAT!$A$63:$A$86+DAT!$B$63:$B$86,0))</f>
        <v>4</v>
      </c>
      <c r="BT8">
        <f t="array" ref="BT8">INDEX(DAT!$C$63:$C$86,MATCH(100*MainTour!$A8+RIGHT(BE$1,1),100*DAT!$A$63:$A$86+DAT!$B$63:$B$86,0))</f>
        <v>4</v>
      </c>
      <c r="BU8">
        <f t="array" ref="BU8">INDEX(DAT!$C$63:$C$86,MATCH(100*MainTour!$A8+RIGHT(BF$1,1),100*DAT!$A$63:$A$86+DAT!$B$63:$B$86,0))</f>
        <v>4</v>
      </c>
      <c r="BW8">
        <f t="array" ref="BW8">INDEX(DAT!$C$92:$C$115,MATCH(100*MainTour!$A8+RIGHT(BC$1,1),100*DAT!$A$92:$A$115+DAT!$B$92:$B$115,0))</f>
        <v>4</v>
      </c>
      <c r="BX8">
        <f t="array" ref="BX8">INDEX(DAT!$C$92:$C$115,MATCH(100*MainTour!$A8+RIGHT(BD$1,1),100*DAT!$A$92:$A$115+DAT!$B$92:$B$115,0))</f>
        <v>4</v>
      </c>
      <c r="BY8">
        <f t="array" ref="BY8">INDEX(DAT!$C$92:$C$115,MATCH(100*MainTour!$A8+RIGHT(BE$1,1),100*DAT!$A$92:$A$115+DAT!$B$92:$B$115,0))</f>
        <v>4</v>
      </c>
      <c r="BZ8">
        <f t="array" ref="BZ8">INDEX(DAT!$C$92:$C$115,MATCH(100*MainTour!$A8+RIGHT(BF$1,1),100*DAT!$A$92:$A$115+DAT!$B$92:$B$115,0))</f>
        <v>4</v>
      </c>
      <c r="CB8" t="b">
        <f t="shared" si="18"/>
        <v>1</v>
      </c>
      <c r="CC8" t="b">
        <f t="shared" si="19"/>
        <v>1</v>
      </c>
      <c r="CD8" t="b">
        <f t="shared" si="20"/>
        <v>1</v>
      </c>
      <c r="CE8" t="b">
        <f t="shared" si="21"/>
        <v>1</v>
      </c>
      <c r="CG8">
        <f t="array" ref="CG8">INDEX(DAT!$C$476:$C$499,MATCH(100*MainTour!$A8+RIGHT(BC$1,1),100*DAT!$A$476:$A$499+DAT!$B$476:$B$499,0))/2</f>
        <v>40</v>
      </c>
      <c r="CH8">
        <f t="array" ref="CH8">INDEX(DAT!$C$476:$C$499,MATCH(100*MainTour!$A8+RIGHT(BD$1,1),100*DAT!$A$476:$A$499+DAT!$B$476:$B$499,0))/2</f>
        <v>80</v>
      </c>
      <c r="CI8">
        <f t="array" ref="CI8">INDEX(DAT!$C$476:$C$499,MATCH(100*MainTour!$A8+RIGHT(BE$1,1),100*DAT!$A$476:$A$499+DAT!$B$476:$B$499,0))/2</f>
        <v>120</v>
      </c>
      <c r="CJ8">
        <f t="array" ref="CJ8">INDEX(DAT!$C$476:$C$499,MATCH(100*MainTour!$A8+RIGHT(BF$1,1),100*DAT!$A$476:$A$499+DAT!$B$476:$B$499,0))/2</f>
        <v>160</v>
      </c>
      <c r="CL8">
        <f t="array" ref="CL8">INDEX(DAT!$C$506:$C$529,MATCH(100*MainTour!$A8+RIGHT(BC$1,1),100*DAT!$A$506:$A$529+DAT!$B$506:$B$529,0))/2</f>
        <v>40</v>
      </c>
      <c r="CM8">
        <f t="array" ref="CM8">INDEX(DAT!$C$506:$C$529,MATCH(100*MainTour!$A8+RIGHT(BD$1,1),100*DAT!$A$506:$A$529+DAT!$B$506:$B$529,0))/2</f>
        <v>80</v>
      </c>
      <c r="CN8">
        <f t="array" ref="CN8">INDEX(DAT!$C$506:$C$529,MATCH(100*MainTour!$A8+RIGHT(BE$1,1),100*DAT!$A$506:$A$529+DAT!$B$506:$B$529,0))/2</f>
        <v>120</v>
      </c>
      <c r="CO8">
        <f t="array" ref="CO8">INDEX(DAT!$C$506:$C$529,MATCH(100*MainTour!$A8+RIGHT(BF$1,1),100*DAT!$A$506:$A$529+DAT!$B$506:$B$529,0))/2</f>
        <v>160</v>
      </c>
      <c r="CQ8" t="b">
        <f t="shared" si="22"/>
        <v>1</v>
      </c>
      <c r="CR8" t="b">
        <f t="shared" si="23"/>
        <v>1</v>
      </c>
      <c r="CS8" t="b">
        <f t="shared" si="24"/>
        <v>1</v>
      </c>
      <c r="CT8" t="b">
        <f t="shared" si="25"/>
        <v>1</v>
      </c>
      <c r="CV8">
        <f t="array" ref="CV8">INDEX(DAT!$C$544:$C$567,MATCH(100*MainTour!$A8+RIGHT(BC$1,1),100*DAT!$A$544:$A$567+DAT!$B$544:$B$567,0))/2</f>
        <v>40</v>
      </c>
      <c r="CW8">
        <f t="array" ref="CW8">INDEX(DAT!$C$544:$C$567,MATCH(100*MainTour!$A8+RIGHT(BD$1,1),100*DAT!$A$544:$A$567+DAT!$B$544:$B$567,0))/2</f>
        <v>40</v>
      </c>
      <c r="CX8">
        <f t="array" ref="CX8">INDEX(DAT!$C$544:$C$567,MATCH(100*MainTour!$A8+RIGHT(BE$1,1),100*DAT!$A$544:$A$567+DAT!$B$544:$B$567,0))/2</f>
        <v>40</v>
      </c>
      <c r="CY8">
        <f t="array" ref="CY8">INDEX(DAT!$C$544:$C$567,MATCH(100*MainTour!$A8+RIGHT(BF$1,1),100*DAT!$A$544:$A$567+DAT!$B$544:$B$567,0))/2</f>
        <v>40</v>
      </c>
      <c r="DA8">
        <f t="array" ref="DA8">INDEX(DAT!$C$573:$C$596,MATCH(100*MainTour!$A8+RIGHT(BC$1,1),100*DAT!$A$573:$A$596+DAT!$B$573:$B$596,0))/2</f>
        <v>40</v>
      </c>
      <c r="DB8">
        <f t="array" ref="DB8">INDEX(DAT!$C$573:$C$596,MATCH(100*MainTour!$A8+RIGHT(BD$1,1),100*DAT!$A$573:$A$596+DAT!$B$573:$B$596,0))/2</f>
        <v>40</v>
      </c>
      <c r="DC8">
        <f t="array" ref="DC8">INDEX(DAT!$C$573:$C$596,MATCH(100*MainTour!$A8+RIGHT(BE$1,1),100*DAT!$A$573:$A$596+DAT!$B$573:$B$596,0))/2</f>
        <v>40</v>
      </c>
      <c r="DD8">
        <f t="array" ref="DD8">INDEX(DAT!$C$573:$C$596,MATCH(100*MainTour!$A8+RIGHT(BF$1,1),100*DAT!$A$573:$A$596+DAT!$B$573:$B$596,0))/2</f>
        <v>40</v>
      </c>
      <c r="DF8" t="b">
        <f t="shared" si="26"/>
        <v>1</v>
      </c>
      <c r="DG8" t="b">
        <f t="shared" si="27"/>
        <v>1</v>
      </c>
      <c r="DH8" t="b">
        <f t="shared" si="28"/>
        <v>1</v>
      </c>
      <c r="DI8" t="b">
        <f t="shared" si="29"/>
        <v>1</v>
      </c>
    </row>
    <row r="9" spans="1:113" x14ac:dyDescent="0.25">
      <c r="A9" s="2">
        <v>4</v>
      </c>
      <c r="B9" s="5" t="s">
        <v>42</v>
      </c>
      <c r="C9" s="2" t="s">
        <v>5</v>
      </c>
      <c r="D9" s="2" t="s">
        <v>5</v>
      </c>
      <c r="E9" s="2" t="s">
        <v>50</v>
      </c>
      <c r="F9" s="2" t="s">
        <v>50</v>
      </c>
      <c r="G9" s="2" t="s">
        <v>50</v>
      </c>
      <c r="H9" s="5" t="s">
        <v>5</v>
      </c>
      <c r="I9" s="5" t="s">
        <v>5</v>
      </c>
      <c r="J9" s="2" t="s">
        <v>50</v>
      </c>
      <c r="K9" s="2" t="s">
        <v>50</v>
      </c>
      <c r="L9" s="2" t="s">
        <v>5</v>
      </c>
      <c r="M9" s="2" t="s">
        <v>5</v>
      </c>
      <c r="N9" s="2" t="s">
        <v>50</v>
      </c>
      <c r="O9" s="5" t="s">
        <v>50</v>
      </c>
      <c r="P9" s="5" t="s">
        <v>50</v>
      </c>
      <c r="Q9" s="2" t="s">
        <v>5</v>
      </c>
      <c r="R9" s="2" t="s">
        <v>50</v>
      </c>
      <c r="S9" s="2" t="s">
        <v>50</v>
      </c>
      <c r="T9" s="2" t="s">
        <v>50</v>
      </c>
      <c r="U9" s="2" t="s">
        <v>5</v>
      </c>
      <c r="V9" s="5" t="s">
        <v>5</v>
      </c>
      <c r="W9" s="5" t="s">
        <v>5</v>
      </c>
      <c r="X9" s="2" t="s">
        <v>50</v>
      </c>
      <c r="Y9" s="2" t="s">
        <v>5</v>
      </c>
      <c r="Z9" s="2" t="s">
        <v>5</v>
      </c>
      <c r="AA9" s="2" t="s">
        <v>50</v>
      </c>
      <c r="AB9" s="2" t="s">
        <v>50</v>
      </c>
      <c r="AC9" s="5" t="s">
        <v>50</v>
      </c>
      <c r="AE9">
        <f t="shared" si="2"/>
        <v>4</v>
      </c>
      <c r="AF9">
        <f t="shared" si="3"/>
        <v>16</v>
      </c>
      <c r="AG9">
        <f t="shared" si="4"/>
        <v>4</v>
      </c>
      <c r="AH9">
        <f t="shared" si="5"/>
        <v>4</v>
      </c>
      <c r="AI9">
        <f t="shared" si="6"/>
        <v>4</v>
      </c>
      <c r="AJ9">
        <f t="shared" si="7"/>
        <v>4</v>
      </c>
      <c r="AK9">
        <f t="shared" si="8"/>
        <v>160</v>
      </c>
      <c r="AL9">
        <f t="shared" si="9"/>
        <v>40</v>
      </c>
      <c r="AM9">
        <f t="shared" si="10"/>
        <v>40</v>
      </c>
      <c r="AN9">
        <f t="shared" si="11"/>
        <v>40</v>
      </c>
      <c r="AO9">
        <f t="shared" si="12"/>
        <v>40</v>
      </c>
      <c r="AQ9">
        <f t="shared" si="13"/>
        <v>4</v>
      </c>
      <c r="AS9">
        <f>SUM($AG9:AG9)</f>
        <v>4</v>
      </c>
      <c r="AT9">
        <f>SUM($AG9:AH9)</f>
        <v>8</v>
      </c>
      <c r="AU9">
        <f>SUM($AG9:AI9)</f>
        <v>12</v>
      </c>
      <c r="AV9">
        <f>SUM($AG9:AJ9)</f>
        <v>16</v>
      </c>
      <c r="AX9">
        <f>SUM($AL9:AL9)</f>
        <v>40</v>
      </c>
      <c r="AY9">
        <f>SUM($AL9:AM9)</f>
        <v>80</v>
      </c>
      <c r="AZ9">
        <f>SUM($AL9:AN9)</f>
        <v>120</v>
      </c>
      <c r="BA9">
        <f>SUM($AL9:AO9)</f>
        <v>160</v>
      </c>
      <c r="BC9">
        <f t="array" ref="BC9">INDEX(DAT!$C$3:$C$26,MATCH(100*MainTour!$A9+RIGHT(BC$1,1),100*DAT!$A$3:$A$26+DAT!$B$3:$B$26,0))</f>
        <v>4</v>
      </c>
      <c r="BD9">
        <f t="array" ref="BD9">INDEX(DAT!$C$3:$C$26,MATCH(100*MainTour!$A9+RIGHT(BD$1,1),100*DAT!$A$3:$A$26+DAT!$B$3:$B$26,0))</f>
        <v>8</v>
      </c>
      <c r="BE9">
        <f t="array" ref="BE9">INDEX(DAT!$C$3:$C$26,MATCH(100*MainTour!$A9+RIGHT(BE$1,1),100*DAT!$A$3:$A$26+DAT!$B$3:$B$26,0))</f>
        <v>12</v>
      </c>
      <c r="BF9">
        <f t="array" ref="BF9">INDEX(DAT!$C$3:$C$26,MATCH(100*MainTour!$A9+RIGHT(BF$1,1),100*DAT!$A$3:$A$26+DAT!$B$3:$B$26,0))</f>
        <v>16</v>
      </c>
      <c r="BH9">
        <f t="array" ref="BH9">INDEX(DAT!$C$34:$C$57,MATCH(100*MainTour!$A9+RIGHT(BC$1,1),100*DAT!$A$34:$A$57+DAT!$B$34:$B$57,0))</f>
        <v>4</v>
      </c>
      <c r="BI9">
        <f t="array" ref="BI9">INDEX(DAT!$C$34:$C$57,MATCH(100*MainTour!$A9+RIGHT(BD$1,1),100*DAT!$A$34:$A$57+DAT!$B$34:$B$57,0))</f>
        <v>8</v>
      </c>
      <c r="BJ9">
        <f t="array" ref="BJ9">INDEX(DAT!$C$34:$C$57,MATCH(100*MainTour!$A9+RIGHT(BE$1,1),100*DAT!$A$34:$A$57+DAT!$B$34:$B$57,0))</f>
        <v>12</v>
      </c>
      <c r="BK9">
        <f t="array" ref="BK9">INDEX(DAT!$C$34:$C$57,MATCH(100*MainTour!$A9+RIGHT(BF$1,1),100*DAT!$A$34:$A$57+DAT!$B$34:$B$57,0))</f>
        <v>16</v>
      </c>
      <c r="BM9" t="b">
        <f t="shared" si="14"/>
        <v>1</v>
      </c>
      <c r="BN9" t="b">
        <f t="shared" si="15"/>
        <v>1</v>
      </c>
      <c r="BO9" t="b">
        <f t="shared" si="16"/>
        <v>1</v>
      </c>
      <c r="BP9" t="b">
        <f t="shared" si="17"/>
        <v>1</v>
      </c>
      <c r="BR9">
        <f t="array" ref="BR9">INDEX(DAT!$C$63:$C$86,MATCH(100*MainTour!$A9+RIGHT(BC$1,1),100*DAT!$A$63:$A$86+DAT!$B$63:$B$86,0))</f>
        <v>4</v>
      </c>
      <c r="BS9">
        <f t="array" ref="BS9">INDEX(DAT!$C$63:$C$86,MATCH(100*MainTour!$A9+RIGHT(BD$1,1),100*DAT!$A$63:$A$86+DAT!$B$63:$B$86,0))</f>
        <v>4</v>
      </c>
      <c r="BT9">
        <f t="array" ref="BT9">INDEX(DAT!$C$63:$C$86,MATCH(100*MainTour!$A9+RIGHT(BE$1,1),100*DAT!$A$63:$A$86+DAT!$B$63:$B$86,0))</f>
        <v>4</v>
      </c>
      <c r="BU9">
        <f t="array" ref="BU9">INDEX(DAT!$C$63:$C$86,MATCH(100*MainTour!$A9+RIGHT(BF$1,1),100*DAT!$A$63:$A$86+DAT!$B$63:$B$86,0))</f>
        <v>4</v>
      </c>
      <c r="BW9">
        <f t="array" ref="BW9">INDEX(DAT!$C$92:$C$115,MATCH(100*MainTour!$A9+RIGHT(BC$1,1),100*DAT!$A$92:$A$115+DAT!$B$92:$B$115,0))</f>
        <v>4</v>
      </c>
      <c r="BX9">
        <f t="array" ref="BX9">INDEX(DAT!$C$92:$C$115,MATCH(100*MainTour!$A9+RIGHT(BD$1,1),100*DAT!$A$92:$A$115+DAT!$B$92:$B$115,0))</f>
        <v>4</v>
      </c>
      <c r="BY9">
        <f t="array" ref="BY9">INDEX(DAT!$C$92:$C$115,MATCH(100*MainTour!$A9+RIGHT(BE$1,1),100*DAT!$A$92:$A$115+DAT!$B$92:$B$115,0))</f>
        <v>4</v>
      </c>
      <c r="BZ9">
        <f t="array" ref="BZ9">INDEX(DAT!$C$92:$C$115,MATCH(100*MainTour!$A9+RIGHT(BF$1,1),100*DAT!$A$92:$A$115+DAT!$B$92:$B$115,0))</f>
        <v>4</v>
      </c>
      <c r="CB9" t="b">
        <f t="shared" si="18"/>
        <v>1</v>
      </c>
      <c r="CC9" t="b">
        <f t="shared" si="19"/>
        <v>1</v>
      </c>
      <c r="CD9" t="b">
        <f t="shared" si="20"/>
        <v>1</v>
      </c>
      <c r="CE9" t="b">
        <f t="shared" si="21"/>
        <v>1</v>
      </c>
      <c r="CG9">
        <f t="array" ref="CG9">INDEX(DAT!$C$476:$C$499,MATCH(100*MainTour!$A9+RIGHT(BC$1,1),100*DAT!$A$476:$A$499+DAT!$B$476:$B$499,0))/2</f>
        <v>40</v>
      </c>
      <c r="CH9">
        <f t="array" ref="CH9">INDEX(DAT!$C$476:$C$499,MATCH(100*MainTour!$A9+RIGHT(BD$1,1),100*DAT!$A$476:$A$499+DAT!$B$476:$B$499,0))/2</f>
        <v>80</v>
      </c>
      <c r="CI9">
        <f t="array" ref="CI9">INDEX(DAT!$C$476:$C$499,MATCH(100*MainTour!$A9+RIGHT(BE$1,1),100*DAT!$A$476:$A$499+DAT!$B$476:$B$499,0))/2</f>
        <v>120</v>
      </c>
      <c r="CJ9">
        <f t="array" ref="CJ9">INDEX(DAT!$C$476:$C$499,MATCH(100*MainTour!$A9+RIGHT(BF$1,1),100*DAT!$A$476:$A$499+DAT!$B$476:$B$499,0))/2</f>
        <v>160</v>
      </c>
      <c r="CL9">
        <f t="array" ref="CL9">INDEX(DAT!$C$506:$C$529,MATCH(100*MainTour!$A9+RIGHT(BC$1,1),100*DAT!$A$506:$A$529+DAT!$B$506:$B$529,0))/2</f>
        <v>40</v>
      </c>
      <c r="CM9">
        <f t="array" ref="CM9">INDEX(DAT!$C$506:$C$529,MATCH(100*MainTour!$A9+RIGHT(BD$1,1),100*DAT!$A$506:$A$529+DAT!$B$506:$B$529,0))/2</f>
        <v>80</v>
      </c>
      <c r="CN9">
        <f t="array" ref="CN9">INDEX(DAT!$C$506:$C$529,MATCH(100*MainTour!$A9+RIGHT(BE$1,1),100*DAT!$A$506:$A$529+DAT!$B$506:$B$529,0))/2</f>
        <v>120</v>
      </c>
      <c r="CO9">
        <f t="array" ref="CO9">INDEX(DAT!$C$506:$C$529,MATCH(100*MainTour!$A9+RIGHT(BF$1,1),100*DAT!$A$506:$A$529+DAT!$B$506:$B$529,0))/2</f>
        <v>160</v>
      </c>
      <c r="CQ9" t="b">
        <f t="shared" si="22"/>
        <v>1</v>
      </c>
      <c r="CR9" t="b">
        <f t="shared" si="23"/>
        <v>1</v>
      </c>
      <c r="CS9" t="b">
        <f t="shared" si="24"/>
        <v>1</v>
      </c>
      <c r="CT9" t="b">
        <f t="shared" si="25"/>
        <v>1</v>
      </c>
      <c r="CV9">
        <f t="array" ref="CV9">INDEX(DAT!$C$544:$C$567,MATCH(100*MainTour!$A9+RIGHT(BC$1,1),100*DAT!$A$544:$A$567+DAT!$B$544:$B$567,0))/2</f>
        <v>40</v>
      </c>
      <c r="CW9">
        <f t="array" ref="CW9">INDEX(DAT!$C$544:$C$567,MATCH(100*MainTour!$A9+RIGHT(BD$1,1),100*DAT!$A$544:$A$567+DAT!$B$544:$B$567,0))/2</f>
        <v>40</v>
      </c>
      <c r="CX9">
        <f t="array" ref="CX9">INDEX(DAT!$C$544:$C$567,MATCH(100*MainTour!$A9+RIGHT(BE$1,1),100*DAT!$A$544:$A$567+DAT!$B$544:$B$567,0))/2</f>
        <v>40</v>
      </c>
      <c r="CY9">
        <f t="array" ref="CY9">INDEX(DAT!$C$544:$C$567,MATCH(100*MainTour!$A9+RIGHT(BF$1,1),100*DAT!$A$544:$A$567+DAT!$B$544:$B$567,0))/2</f>
        <v>40</v>
      </c>
      <c r="DA9">
        <f t="array" ref="DA9">INDEX(DAT!$C$573:$C$596,MATCH(100*MainTour!$A9+RIGHT(BC$1,1),100*DAT!$A$573:$A$596+DAT!$B$573:$B$596,0))/2</f>
        <v>40</v>
      </c>
      <c r="DB9">
        <f t="array" ref="DB9">INDEX(DAT!$C$573:$C$596,MATCH(100*MainTour!$A9+RIGHT(BD$1,1),100*DAT!$A$573:$A$596+DAT!$B$573:$B$596,0))/2</f>
        <v>40</v>
      </c>
      <c r="DC9">
        <f t="array" ref="DC9">INDEX(DAT!$C$573:$C$596,MATCH(100*MainTour!$A9+RIGHT(BE$1,1),100*DAT!$A$573:$A$596+DAT!$B$573:$B$596,0))/2</f>
        <v>40</v>
      </c>
      <c r="DD9">
        <f t="array" ref="DD9">INDEX(DAT!$C$573:$C$596,MATCH(100*MainTour!$A9+RIGHT(BF$1,1),100*DAT!$A$573:$A$596+DAT!$B$573:$B$596,0))/2</f>
        <v>40</v>
      </c>
      <c r="DF9" t="b">
        <f t="shared" si="26"/>
        <v>1</v>
      </c>
      <c r="DG9" t="b">
        <f t="shared" si="27"/>
        <v>1</v>
      </c>
      <c r="DH9" t="b">
        <f t="shared" si="28"/>
        <v>1</v>
      </c>
      <c r="DI9" t="b">
        <f t="shared" si="29"/>
        <v>1</v>
      </c>
    </row>
    <row r="10" spans="1:113" x14ac:dyDescent="0.25">
      <c r="A10" s="2">
        <v>1</v>
      </c>
      <c r="B10" s="5" t="s">
        <v>1</v>
      </c>
      <c r="C10" s="2" t="s">
        <v>51</v>
      </c>
      <c r="D10" s="2" t="s">
        <v>5</v>
      </c>
      <c r="E10" s="2" t="s">
        <v>51</v>
      </c>
      <c r="F10" s="2" t="s">
        <v>5</v>
      </c>
      <c r="G10" s="2" t="s">
        <v>51</v>
      </c>
      <c r="H10" s="5" t="s">
        <v>5</v>
      </c>
      <c r="I10" s="5" t="s">
        <v>5</v>
      </c>
      <c r="J10" s="2" t="s">
        <v>51</v>
      </c>
      <c r="K10" s="2" t="s">
        <v>51</v>
      </c>
      <c r="L10" s="2" t="s">
        <v>5</v>
      </c>
      <c r="M10" s="2" t="s">
        <v>5</v>
      </c>
      <c r="N10" s="2" t="s">
        <v>5</v>
      </c>
      <c r="O10" s="5" t="s">
        <v>5</v>
      </c>
      <c r="P10" s="5" t="s">
        <v>5</v>
      </c>
      <c r="Q10" s="2" t="s">
        <v>5</v>
      </c>
      <c r="R10" s="2" t="s">
        <v>5</v>
      </c>
      <c r="S10" s="2" t="s">
        <v>5</v>
      </c>
      <c r="T10" s="2" t="s">
        <v>51</v>
      </c>
      <c r="U10" s="2" t="s">
        <v>51</v>
      </c>
      <c r="V10" s="5" t="s">
        <v>5</v>
      </c>
      <c r="W10" s="5" t="s">
        <v>5</v>
      </c>
      <c r="X10" s="2" t="s">
        <v>5</v>
      </c>
      <c r="Y10" s="2" t="s">
        <v>5</v>
      </c>
      <c r="Z10" s="2" t="s">
        <v>51</v>
      </c>
      <c r="AA10" s="2" t="s">
        <v>51</v>
      </c>
      <c r="AB10" s="2" t="s">
        <v>5</v>
      </c>
      <c r="AC10" s="5" t="s">
        <v>5</v>
      </c>
      <c r="AE10">
        <f t="shared" si="2"/>
        <v>2</v>
      </c>
      <c r="AF10">
        <f t="shared" si="3"/>
        <v>9</v>
      </c>
      <c r="AG10">
        <f t="shared" si="4"/>
        <v>3</v>
      </c>
      <c r="AH10">
        <f t="shared" si="5"/>
        <v>2</v>
      </c>
      <c r="AI10">
        <f t="shared" si="6"/>
        <v>2</v>
      </c>
      <c r="AJ10">
        <f t="shared" si="7"/>
        <v>2</v>
      </c>
      <c r="AK10">
        <f t="shared" si="8"/>
        <v>36</v>
      </c>
      <c r="AL10">
        <f t="shared" si="9"/>
        <v>12</v>
      </c>
      <c r="AM10">
        <f t="shared" si="10"/>
        <v>8</v>
      </c>
      <c r="AN10">
        <f t="shared" si="11"/>
        <v>8</v>
      </c>
      <c r="AO10">
        <f t="shared" si="12"/>
        <v>8</v>
      </c>
      <c r="AQ10">
        <f t="shared" si="13"/>
        <v>0</v>
      </c>
      <c r="AS10">
        <f>SUM($AG10:AG10)</f>
        <v>3</v>
      </c>
      <c r="AT10">
        <f>SUM($AG10:AH10)</f>
        <v>5</v>
      </c>
      <c r="AU10">
        <f>SUM($AG10:AI10)</f>
        <v>7</v>
      </c>
      <c r="AV10">
        <f>SUM($AG10:AJ10)</f>
        <v>9</v>
      </c>
      <c r="AX10">
        <f>SUM($AL10:AL10)</f>
        <v>12</v>
      </c>
      <c r="AY10">
        <f>SUM($AL10:AM10)</f>
        <v>20</v>
      </c>
      <c r="AZ10">
        <f>SUM($AL10:AN10)</f>
        <v>28</v>
      </c>
      <c r="BA10">
        <f>SUM($AL10:AO10)</f>
        <v>36</v>
      </c>
      <c r="BC10">
        <f t="array" ref="BC10">INDEX(DAT!$C$3:$C$26,MATCH(100*MainTour!$A10+RIGHT(BC$1,1),100*DAT!$A$3:$A$26+DAT!$B$3:$B$26,0))</f>
        <v>2</v>
      </c>
      <c r="BD10">
        <f t="array" ref="BD10">INDEX(DAT!$C$3:$C$26,MATCH(100*MainTour!$A10+RIGHT(BD$1,1),100*DAT!$A$3:$A$26+DAT!$B$3:$B$26,0))</f>
        <v>4</v>
      </c>
      <c r="BE10">
        <f t="array" ref="BE10">INDEX(DAT!$C$3:$C$26,MATCH(100*MainTour!$A10+RIGHT(BE$1,1),100*DAT!$A$3:$A$26+DAT!$B$3:$B$26,0))</f>
        <v>6</v>
      </c>
      <c r="BF10">
        <f t="array" ref="BF10">INDEX(DAT!$C$3:$C$26,MATCH(100*MainTour!$A10+RIGHT(BF$1,1),100*DAT!$A$3:$A$26+DAT!$B$3:$B$26,0))</f>
        <v>8</v>
      </c>
      <c r="BH10">
        <f t="array" ref="BH10">INDEX(DAT!$C$34:$C$57,MATCH(100*MainTour!$A10+RIGHT(BC$1,1),100*DAT!$A$34:$A$57+DAT!$B$34:$B$57,0))</f>
        <v>5</v>
      </c>
      <c r="BI10">
        <f t="array" ref="BI10">INDEX(DAT!$C$34:$C$57,MATCH(100*MainTour!$A10+RIGHT(BD$1,1),100*DAT!$A$34:$A$57+DAT!$B$34:$B$57,0))</f>
        <v>10</v>
      </c>
      <c r="BJ10">
        <f t="array" ref="BJ10">INDEX(DAT!$C$34:$C$57,MATCH(100*MainTour!$A10+RIGHT(BE$1,1),100*DAT!$A$34:$A$57+DAT!$B$34:$B$57,0))</f>
        <v>15</v>
      </c>
      <c r="BK10">
        <f t="array" ref="BK10">INDEX(DAT!$C$34:$C$57,MATCH(100*MainTour!$A10+RIGHT(BF$1,1),100*DAT!$A$34:$A$57+DAT!$B$34:$B$57,0))</f>
        <v>20</v>
      </c>
      <c r="BM10" t="b">
        <f t="shared" si="14"/>
        <v>1</v>
      </c>
      <c r="BN10" t="b">
        <f t="shared" si="15"/>
        <v>1</v>
      </c>
      <c r="BO10" t="b">
        <f t="shared" si="16"/>
        <v>1</v>
      </c>
      <c r="BP10" t="b">
        <f t="shared" si="17"/>
        <v>1</v>
      </c>
      <c r="BR10">
        <f t="array" ref="BR10">INDEX(DAT!$C$63:$C$86,MATCH(100*MainTour!$A10+RIGHT(BC$1,1),100*DAT!$A$63:$A$86+DAT!$B$63:$B$86,0))</f>
        <v>2</v>
      </c>
      <c r="BS10">
        <f t="array" ref="BS10">INDEX(DAT!$C$63:$C$86,MATCH(100*MainTour!$A10+RIGHT(BD$1,1),100*DAT!$A$63:$A$86+DAT!$B$63:$B$86,0))</f>
        <v>2</v>
      </c>
      <c r="BT10">
        <f t="array" ref="BT10">INDEX(DAT!$C$63:$C$86,MATCH(100*MainTour!$A10+RIGHT(BE$1,1),100*DAT!$A$63:$A$86+DAT!$B$63:$B$86,0))</f>
        <v>2</v>
      </c>
      <c r="BU10">
        <f t="array" ref="BU10">INDEX(DAT!$C$63:$C$86,MATCH(100*MainTour!$A10+RIGHT(BF$1,1),100*DAT!$A$63:$A$86+DAT!$B$63:$B$86,0))</f>
        <v>2</v>
      </c>
      <c r="BW10">
        <f t="array" ref="BW10">INDEX(DAT!$C$92:$C$115,MATCH(100*MainTour!$A10+RIGHT(BC$1,1),100*DAT!$A$92:$A$115+DAT!$B$92:$B$115,0))</f>
        <v>5</v>
      </c>
      <c r="BX10">
        <f t="array" ref="BX10">INDEX(DAT!$C$92:$C$115,MATCH(100*MainTour!$A10+RIGHT(BD$1,1),100*DAT!$A$92:$A$115+DAT!$B$92:$B$115,0))</f>
        <v>5</v>
      </c>
      <c r="BY10">
        <f t="array" ref="BY10">INDEX(DAT!$C$92:$C$115,MATCH(100*MainTour!$A10+RIGHT(BE$1,1),100*DAT!$A$92:$A$115+DAT!$B$92:$B$115,0))</f>
        <v>5</v>
      </c>
      <c r="BZ10">
        <f t="array" ref="BZ10">INDEX(DAT!$C$92:$C$115,MATCH(100*MainTour!$A10+RIGHT(BF$1,1),100*DAT!$A$92:$A$115+DAT!$B$92:$B$115,0))</f>
        <v>5</v>
      </c>
      <c r="CB10" t="b">
        <f t="shared" si="18"/>
        <v>1</v>
      </c>
      <c r="CC10" t="b">
        <f t="shared" si="19"/>
        <v>1</v>
      </c>
      <c r="CD10" t="b">
        <f t="shared" si="20"/>
        <v>1</v>
      </c>
      <c r="CE10" t="b">
        <f t="shared" si="21"/>
        <v>1</v>
      </c>
      <c r="CG10">
        <f t="array" ref="CG10">INDEX(DAT!$C$476:$C$499,MATCH(100*MainTour!$A10+RIGHT(BC$1,1),100*DAT!$A$476:$A$499+DAT!$B$476:$B$499,0))/2</f>
        <v>8</v>
      </c>
      <c r="CH10">
        <f t="array" ref="CH10">INDEX(DAT!$C$476:$C$499,MATCH(100*MainTour!$A10+RIGHT(BD$1,1),100*DAT!$A$476:$A$499+DAT!$B$476:$B$499,0))/2</f>
        <v>16</v>
      </c>
      <c r="CI10">
        <f t="array" ref="CI10">INDEX(DAT!$C$476:$C$499,MATCH(100*MainTour!$A10+RIGHT(BE$1,1),100*DAT!$A$476:$A$499+DAT!$B$476:$B$499,0))/2</f>
        <v>24</v>
      </c>
      <c r="CJ10">
        <f t="array" ref="CJ10">INDEX(DAT!$C$476:$C$499,MATCH(100*MainTour!$A10+RIGHT(BF$1,1),100*DAT!$A$476:$A$499+DAT!$B$476:$B$499,0))/2</f>
        <v>32</v>
      </c>
      <c r="CL10">
        <f t="array" ref="CL10">INDEX(DAT!$C$506:$C$529,MATCH(100*MainTour!$A10+RIGHT(BC$1,1),100*DAT!$A$506:$A$529+DAT!$B$506:$B$529,0))/2</f>
        <v>32</v>
      </c>
      <c r="CM10">
        <f t="array" ref="CM10">INDEX(DAT!$C$506:$C$529,MATCH(100*MainTour!$A10+RIGHT(BD$1,1),100*DAT!$A$506:$A$529+DAT!$B$506:$B$529,0))/2</f>
        <v>64</v>
      </c>
      <c r="CN10">
        <f t="array" ref="CN10">INDEX(DAT!$C$506:$C$529,MATCH(100*MainTour!$A10+RIGHT(BE$1,1),100*DAT!$A$506:$A$529+DAT!$B$506:$B$529,0))/2</f>
        <v>96</v>
      </c>
      <c r="CO10">
        <f t="array" ref="CO10">INDEX(DAT!$C$506:$C$529,MATCH(100*MainTour!$A10+RIGHT(BF$1,1),100*DAT!$A$506:$A$529+DAT!$B$506:$B$529,0))/2</f>
        <v>128</v>
      </c>
      <c r="CQ10" t="b">
        <f t="shared" si="22"/>
        <v>1</v>
      </c>
      <c r="CR10" t="b">
        <f t="shared" si="23"/>
        <v>1</v>
      </c>
      <c r="CS10" t="b">
        <f t="shared" si="24"/>
        <v>1</v>
      </c>
      <c r="CT10" t="b">
        <f t="shared" si="25"/>
        <v>1</v>
      </c>
      <c r="CV10">
        <f t="array" ref="CV10">INDEX(DAT!$C$544:$C$567,MATCH(100*MainTour!$A10+RIGHT(BC$1,1),100*DAT!$A$544:$A$567+DAT!$B$544:$B$567,0))/2</f>
        <v>8</v>
      </c>
      <c r="CW10">
        <f t="array" ref="CW10">INDEX(DAT!$C$544:$C$567,MATCH(100*MainTour!$A10+RIGHT(BD$1,1),100*DAT!$A$544:$A$567+DAT!$B$544:$B$567,0))/2</f>
        <v>8</v>
      </c>
      <c r="CX10">
        <f t="array" ref="CX10">INDEX(DAT!$C$544:$C$567,MATCH(100*MainTour!$A10+RIGHT(BE$1,1),100*DAT!$A$544:$A$567+DAT!$B$544:$B$567,0))/2</f>
        <v>8</v>
      </c>
      <c r="CY10">
        <f t="array" ref="CY10">INDEX(DAT!$C$544:$C$567,MATCH(100*MainTour!$A10+RIGHT(BF$1,1),100*DAT!$A$544:$A$567+DAT!$B$544:$B$567,0))/2</f>
        <v>8</v>
      </c>
      <c r="DA10">
        <f t="array" ref="DA10">INDEX(DAT!$C$573:$C$596,MATCH(100*MainTour!$A10+RIGHT(BC$1,1),100*DAT!$A$573:$A$596+DAT!$B$573:$B$596,0))/2</f>
        <v>32</v>
      </c>
      <c r="DB10">
        <f t="array" ref="DB10">INDEX(DAT!$C$573:$C$596,MATCH(100*MainTour!$A10+RIGHT(BD$1,1),100*DAT!$A$573:$A$596+DAT!$B$573:$B$596,0))/2</f>
        <v>32</v>
      </c>
      <c r="DC10">
        <f t="array" ref="DC10">INDEX(DAT!$C$573:$C$596,MATCH(100*MainTour!$A10+RIGHT(BE$1,1),100*DAT!$A$573:$A$596+DAT!$B$573:$B$596,0))/2</f>
        <v>32</v>
      </c>
      <c r="DD10">
        <f t="array" ref="DD10">INDEX(DAT!$C$573:$C$596,MATCH(100*MainTour!$A10+RIGHT(BF$1,1),100*DAT!$A$573:$A$596+DAT!$B$573:$B$596,0))/2</f>
        <v>32</v>
      </c>
      <c r="DF10" t="b">
        <f t="shared" si="26"/>
        <v>1</v>
      </c>
      <c r="DG10" t="b">
        <f t="shared" si="27"/>
        <v>1</v>
      </c>
      <c r="DH10" t="b">
        <f t="shared" si="28"/>
        <v>1</v>
      </c>
      <c r="DI10" t="b">
        <f t="shared" si="29"/>
        <v>1</v>
      </c>
    </row>
    <row r="11" spans="1:113" x14ac:dyDescent="0.25">
      <c r="A11" s="2">
        <v>3</v>
      </c>
      <c r="B11" s="5" t="s">
        <v>0</v>
      </c>
      <c r="C11" s="2" t="s">
        <v>4</v>
      </c>
      <c r="D11" s="2" t="s">
        <v>4</v>
      </c>
      <c r="E11" s="2" t="s">
        <v>5</v>
      </c>
      <c r="F11" s="2" t="s">
        <v>5</v>
      </c>
      <c r="G11" s="2" t="s">
        <v>5</v>
      </c>
      <c r="H11" s="5" t="s">
        <v>5</v>
      </c>
      <c r="I11" s="5" t="s">
        <v>5</v>
      </c>
      <c r="J11" s="2" t="s">
        <v>5</v>
      </c>
      <c r="K11" s="2" t="s">
        <v>52</v>
      </c>
      <c r="L11" s="2" t="s">
        <v>4</v>
      </c>
      <c r="M11" s="2" t="s">
        <v>4</v>
      </c>
      <c r="N11" s="2" t="s">
        <v>5</v>
      </c>
      <c r="O11" s="5" t="s">
        <v>4</v>
      </c>
      <c r="P11" s="5" t="s">
        <v>4</v>
      </c>
      <c r="Q11" s="2" t="s">
        <v>4</v>
      </c>
      <c r="R11" s="2" t="s">
        <v>5</v>
      </c>
      <c r="S11" s="2" t="s">
        <v>5</v>
      </c>
      <c r="T11" s="2" t="s">
        <v>5</v>
      </c>
      <c r="U11" s="2" t="s">
        <v>4</v>
      </c>
      <c r="V11" s="5" t="s">
        <v>5</v>
      </c>
      <c r="W11" s="5" t="s">
        <v>5</v>
      </c>
      <c r="X11" s="2" t="s">
        <v>4</v>
      </c>
      <c r="Y11" s="2" t="s">
        <v>4</v>
      </c>
      <c r="Z11" s="2" t="s">
        <v>5</v>
      </c>
      <c r="AA11" s="2" t="s">
        <v>5</v>
      </c>
      <c r="AB11" s="2" t="s">
        <v>52</v>
      </c>
      <c r="AC11" s="5" t="s">
        <v>4</v>
      </c>
      <c r="AE11">
        <f t="shared" si="2"/>
        <v>5</v>
      </c>
      <c r="AF11">
        <f t="shared" si="3"/>
        <v>14</v>
      </c>
      <c r="AG11">
        <f t="shared" si="4"/>
        <v>3</v>
      </c>
      <c r="AH11">
        <f t="shared" si="5"/>
        <v>4</v>
      </c>
      <c r="AI11">
        <f t="shared" si="6"/>
        <v>3</v>
      </c>
      <c r="AJ11">
        <f t="shared" si="7"/>
        <v>4</v>
      </c>
      <c r="AK11">
        <f t="shared" si="8"/>
        <v>160</v>
      </c>
      <c r="AL11">
        <f t="shared" si="9"/>
        <v>36</v>
      </c>
      <c r="AM11">
        <f t="shared" si="10"/>
        <v>44</v>
      </c>
      <c r="AN11">
        <f t="shared" si="11"/>
        <v>36</v>
      </c>
      <c r="AO11">
        <f t="shared" si="12"/>
        <v>44</v>
      </c>
      <c r="AQ11">
        <f t="shared" si="13"/>
        <v>4</v>
      </c>
      <c r="AS11">
        <f>SUM($AG11:AG11)</f>
        <v>3</v>
      </c>
      <c r="AT11">
        <f>SUM($AG11:AH11)</f>
        <v>7</v>
      </c>
      <c r="AU11">
        <f>SUM($AG11:AI11)</f>
        <v>10</v>
      </c>
      <c r="AV11">
        <f>SUM($AG11:AJ11)</f>
        <v>14</v>
      </c>
      <c r="AX11">
        <f>SUM($AL11:AL11)</f>
        <v>36</v>
      </c>
      <c r="AY11">
        <f>SUM($AL11:AM11)</f>
        <v>80</v>
      </c>
      <c r="AZ11">
        <f>SUM($AL11:AN11)</f>
        <v>116</v>
      </c>
      <c r="BA11">
        <f>SUM($AL11:AO11)</f>
        <v>160</v>
      </c>
      <c r="BC11">
        <f t="array" ref="BC11">INDEX(DAT!$C$3:$C$26,MATCH(100*MainTour!$A11+RIGHT(BC$1,1),100*DAT!$A$3:$A$26+DAT!$B$3:$B$26,0))</f>
        <v>3</v>
      </c>
      <c r="BD11">
        <f t="array" ref="BD11">INDEX(DAT!$C$3:$C$26,MATCH(100*MainTour!$A11+RIGHT(BD$1,1),100*DAT!$A$3:$A$26+DAT!$B$3:$B$26,0))</f>
        <v>7</v>
      </c>
      <c r="BE11">
        <f t="array" ref="BE11">INDEX(DAT!$C$3:$C$26,MATCH(100*MainTour!$A11+RIGHT(BE$1,1),100*DAT!$A$3:$A$26+DAT!$B$3:$B$26,0))</f>
        <v>10</v>
      </c>
      <c r="BF11">
        <f t="array" ref="BF11">INDEX(DAT!$C$3:$C$26,MATCH(100*MainTour!$A11+RIGHT(BF$1,1),100*DAT!$A$3:$A$26+DAT!$B$3:$B$26,0))</f>
        <v>14</v>
      </c>
      <c r="BH11">
        <f t="array" ref="BH11">INDEX(DAT!$C$34:$C$57,MATCH(100*MainTour!$A11+RIGHT(BC$1,1),100*DAT!$A$34:$A$57+DAT!$B$34:$B$57,0))</f>
        <v>4</v>
      </c>
      <c r="BI11">
        <f t="array" ref="BI11">INDEX(DAT!$C$34:$C$57,MATCH(100*MainTour!$A11+RIGHT(BD$1,1),100*DAT!$A$34:$A$57+DAT!$B$34:$B$57,0))</f>
        <v>7</v>
      </c>
      <c r="BJ11">
        <f t="array" ref="BJ11">INDEX(DAT!$C$34:$C$57,MATCH(100*MainTour!$A11+RIGHT(BE$1,1),100*DAT!$A$34:$A$57+DAT!$B$34:$B$57,0))</f>
        <v>11</v>
      </c>
      <c r="BK11">
        <f t="array" ref="BK11">INDEX(DAT!$C$34:$C$57,MATCH(100*MainTour!$A11+RIGHT(BF$1,1),100*DAT!$A$34:$A$57+DAT!$B$34:$B$57,0))</f>
        <v>14</v>
      </c>
      <c r="BM11" t="b">
        <f t="shared" si="14"/>
        <v>1</v>
      </c>
      <c r="BN11" t="b">
        <f t="shared" si="15"/>
        <v>1</v>
      </c>
      <c r="BO11" t="b">
        <f t="shared" si="16"/>
        <v>1</v>
      </c>
      <c r="BP11" t="b">
        <f t="shared" si="17"/>
        <v>1</v>
      </c>
      <c r="BR11">
        <f t="array" ref="BR11">INDEX(DAT!$C$63:$C$86,MATCH(100*MainTour!$A11+RIGHT(BC$1,1),100*DAT!$A$63:$A$86+DAT!$B$63:$B$86,0))</f>
        <v>3</v>
      </c>
      <c r="BS11">
        <f t="array" ref="BS11">INDEX(DAT!$C$63:$C$86,MATCH(100*MainTour!$A11+RIGHT(BD$1,1),100*DAT!$A$63:$A$86+DAT!$B$63:$B$86,0))</f>
        <v>3</v>
      </c>
      <c r="BT11">
        <f t="array" ref="BT11">INDEX(DAT!$C$63:$C$86,MATCH(100*MainTour!$A11+RIGHT(BE$1,1),100*DAT!$A$63:$A$86+DAT!$B$63:$B$86,0))</f>
        <v>3</v>
      </c>
      <c r="BU11">
        <f t="array" ref="BU11">INDEX(DAT!$C$63:$C$86,MATCH(100*MainTour!$A11+RIGHT(BF$1,1),100*DAT!$A$63:$A$86+DAT!$B$63:$B$86,0))</f>
        <v>3</v>
      </c>
      <c r="BW11">
        <f t="array" ref="BW11">INDEX(DAT!$C$92:$C$115,MATCH(100*MainTour!$A11+RIGHT(BC$1,1),100*DAT!$A$92:$A$115+DAT!$B$92:$B$115,0))</f>
        <v>4</v>
      </c>
      <c r="BX11">
        <f t="array" ref="BX11">INDEX(DAT!$C$92:$C$115,MATCH(100*MainTour!$A11+RIGHT(BD$1,1),100*DAT!$A$92:$A$115+DAT!$B$92:$B$115,0))</f>
        <v>4</v>
      </c>
      <c r="BY11">
        <f t="array" ref="BY11">INDEX(DAT!$C$92:$C$115,MATCH(100*MainTour!$A11+RIGHT(BE$1,1),100*DAT!$A$92:$A$115+DAT!$B$92:$B$115,0))</f>
        <v>4</v>
      </c>
      <c r="BZ11">
        <f t="array" ref="BZ11">INDEX(DAT!$C$92:$C$115,MATCH(100*MainTour!$A11+RIGHT(BF$1,1),100*DAT!$A$92:$A$115+DAT!$B$92:$B$115,0))</f>
        <v>4</v>
      </c>
      <c r="CB11" t="b">
        <f t="shared" si="18"/>
        <v>1</v>
      </c>
      <c r="CC11" t="b">
        <f t="shared" si="19"/>
        <v>1</v>
      </c>
      <c r="CD11" t="b">
        <f t="shared" si="20"/>
        <v>1</v>
      </c>
      <c r="CE11" t="b">
        <f t="shared" si="21"/>
        <v>1</v>
      </c>
      <c r="CG11">
        <f t="array" ref="CG11">INDEX(DAT!$C$476:$C$499,MATCH(100*MainTour!$A11+RIGHT(BC$1,1),100*DAT!$A$476:$A$499+DAT!$B$476:$B$499,0))/2</f>
        <v>36</v>
      </c>
      <c r="CH11">
        <f t="array" ref="CH11">INDEX(DAT!$C$476:$C$499,MATCH(100*MainTour!$A11+RIGHT(BD$1,1),100*DAT!$A$476:$A$499+DAT!$B$476:$B$499,0))/2</f>
        <v>80</v>
      </c>
      <c r="CI11">
        <f t="array" ref="CI11">INDEX(DAT!$C$476:$C$499,MATCH(100*MainTour!$A11+RIGHT(BE$1,1),100*DAT!$A$476:$A$499+DAT!$B$476:$B$499,0))/2</f>
        <v>116</v>
      </c>
      <c r="CJ11">
        <f t="array" ref="CJ11">INDEX(DAT!$C$476:$C$499,MATCH(100*MainTour!$A11+RIGHT(BF$1,1),100*DAT!$A$476:$A$499+DAT!$B$476:$B$499,0))/2</f>
        <v>160</v>
      </c>
      <c r="CL11">
        <f t="array" ref="CL11">INDEX(DAT!$C$506:$C$529,MATCH(100*MainTour!$A11+RIGHT(BC$1,1),100*DAT!$A$506:$A$529+DAT!$B$506:$B$529,0))/2</f>
        <v>44</v>
      </c>
      <c r="CM11">
        <f t="array" ref="CM11">INDEX(DAT!$C$506:$C$529,MATCH(100*MainTour!$A11+RIGHT(BD$1,1),100*DAT!$A$506:$A$529+DAT!$B$506:$B$529,0))/2</f>
        <v>80</v>
      </c>
      <c r="CN11">
        <f t="array" ref="CN11">INDEX(DAT!$C$506:$C$529,MATCH(100*MainTour!$A11+RIGHT(BE$1,1),100*DAT!$A$506:$A$529+DAT!$B$506:$B$529,0))/2</f>
        <v>124</v>
      </c>
      <c r="CO11">
        <f t="array" ref="CO11">INDEX(DAT!$C$506:$C$529,MATCH(100*MainTour!$A11+RIGHT(BF$1,1),100*DAT!$A$506:$A$529+DAT!$B$506:$B$529,0))/2</f>
        <v>160</v>
      </c>
      <c r="CQ11" t="b">
        <f t="shared" si="22"/>
        <v>1</v>
      </c>
      <c r="CR11" t="b">
        <f t="shared" si="23"/>
        <v>1</v>
      </c>
      <c r="CS11" t="b">
        <f t="shared" si="24"/>
        <v>1</v>
      </c>
      <c r="CT11" t="b">
        <f t="shared" si="25"/>
        <v>1</v>
      </c>
      <c r="CV11">
        <f t="array" ref="CV11">INDEX(DAT!$C$544:$C$567,MATCH(100*MainTour!$A11+RIGHT(BC$1,1),100*DAT!$A$544:$A$567+DAT!$B$544:$B$567,0))/2</f>
        <v>36</v>
      </c>
      <c r="CW11">
        <f t="array" ref="CW11">INDEX(DAT!$C$544:$C$567,MATCH(100*MainTour!$A11+RIGHT(BD$1,1),100*DAT!$A$544:$A$567+DAT!$B$544:$B$567,0))/2</f>
        <v>36</v>
      </c>
      <c r="CX11">
        <f t="array" ref="CX11">INDEX(DAT!$C$544:$C$567,MATCH(100*MainTour!$A11+RIGHT(BE$1,1),100*DAT!$A$544:$A$567+DAT!$B$544:$B$567,0))/2</f>
        <v>36</v>
      </c>
      <c r="CY11">
        <f t="array" ref="CY11">INDEX(DAT!$C$544:$C$567,MATCH(100*MainTour!$A11+RIGHT(BF$1,1),100*DAT!$A$544:$A$567+DAT!$B$544:$B$567,0))/2</f>
        <v>36</v>
      </c>
      <c r="DA11">
        <f t="array" ref="DA11">INDEX(DAT!$C$573:$C$596,MATCH(100*MainTour!$A11+RIGHT(BC$1,1),100*DAT!$A$573:$A$596+DAT!$B$573:$B$596,0))/2</f>
        <v>44</v>
      </c>
      <c r="DB11">
        <f t="array" ref="DB11">INDEX(DAT!$C$573:$C$596,MATCH(100*MainTour!$A11+RIGHT(BD$1,1),100*DAT!$A$573:$A$596+DAT!$B$573:$B$596,0))/2</f>
        <v>44</v>
      </c>
      <c r="DC11">
        <f t="array" ref="DC11">INDEX(DAT!$C$573:$C$596,MATCH(100*MainTour!$A11+RIGHT(BE$1,1),100*DAT!$A$573:$A$596+DAT!$B$573:$B$596,0))/2</f>
        <v>44</v>
      </c>
      <c r="DD11">
        <f t="array" ref="DD11">INDEX(DAT!$C$573:$C$596,MATCH(100*MainTour!$A11+RIGHT(BF$1,1),100*DAT!$A$573:$A$596+DAT!$B$573:$B$596,0))/2</f>
        <v>44</v>
      </c>
      <c r="DF11" t="b">
        <f t="shared" si="26"/>
        <v>1</v>
      </c>
      <c r="DG11" t="b">
        <f t="shared" si="27"/>
        <v>1</v>
      </c>
      <c r="DH11" t="b">
        <f t="shared" si="28"/>
        <v>1</v>
      </c>
      <c r="DI11" t="b">
        <f t="shared" si="29"/>
        <v>1</v>
      </c>
    </row>
    <row r="12" spans="1:113" x14ac:dyDescent="0.25">
      <c r="A12" s="2">
        <v>4</v>
      </c>
      <c r="B12" s="5" t="s">
        <v>1</v>
      </c>
      <c r="C12" s="2" t="s">
        <v>5</v>
      </c>
      <c r="D12" s="2" t="s">
        <v>53</v>
      </c>
      <c r="E12" s="2" t="s">
        <v>53</v>
      </c>
      <c r="F12" s="2" t="s">
        <v>5</v>
      </c>
      <c r="G12" s="2" t="s">
        <v>53</v>
      </c>
      <c r="H12" s="5" t="s">
        <v>53</v>
      </c>
      <c r="I12" s="5" t="s">
        <v>53</v>
      </c>
      <c r="J12" s="2" t="s">
        <v>53</v>
      </c>
      <c r="K12" s="2" t="s">
        <v>5</v>
      </c>
      <c r="L12" s="2" t="s">
        <v>5</v>
      </c>
      <c r="M12" s="2" t="s">
        <v>53</v>
      </c>
      <c r="N12" s="2" t="s">
        <v>53</v>
      </c>
      <c r="O12" s="5" t="s">
        <v>5</v>
      </c>
      <c r="P12" s="5" t="s">
        <v>5</v>
      </c>
      <c r="Q12" s="2" t="s">
        <v>5</v>
      </c>
      <c r="R12" s="2" t="s">
        <v>53</v>
      </c>
      <c r="S12" s="2" t="s">
        <v>53</v>
      </c>
      <c r="T12" s="2" t="s">
        <v>53</v>
      </c>
      <c r="U12" s="2" t="s">
        <v>5</v>
      </c>
      <c r="V12" s="5" t="s">
        <v>53</v>
      </c>
      <c r="W12" s="5" t="s">
        <v>53</v>
      </c>
      <c r="X12" s="2" t="s">
        <v>53</v>
      </c>
      <c r="Y12" s="2" t="s">
        <v>5</v>
      </c>
      <c r="Z12" s="2" t="s">
        <v>53</v>
      </c>
      <c r="AA12" s="2" t="s">
        <v>5</v>
      </c>
      <c r="AB12" s="2" t="s">
        <v>53</v>
      </c>
      <c r="AC12" s="5" t="s">
        <v>5</v>
      </c>
      <c r="AE12">
        <f t="shared" si="2"/>
        <v>4</v>
      </c>
      <c r="AF12">
        <f t="shared" si="3"/>
        <v>16</v>
      </c>
      <c r="AG12">
        <f t="shared" si="4"/>
        <v>4</v>
      </c>
      <c r="AH12">
        <f t="shared" si="5"/>
        <v>4</v>
      </c>
      <c r="AI12">
        <f t="shared" si="6"/>
        <v>4</v>
      </c>
      <c r="AJ12">
        <f t="shared" si="7"/>
        <v>4</v>
      </c>
      <c r="AK12">
        <f t="shared" si="8"/>
        <v>160</v>
      </c>
      <c r="AL12">
        <f t="shared" si="9"/>
        <v>40</v>
      </c>
      <c r="AM12">
        <f t="shared" si="10"/>
        <v>40</v>
      </c>
      <c r="AN12">
        <f t="shared" si="11"/>
        <v>40</v>
      </c>
      <c r="AO12">
        <f t="shared" si="12"/>
        <v>40</v>
      </c>
      <c r="AQ12">
        <f t="shared" si="13"/>
        <v>4</v>
      </c>
      <c r="AS12">
        <f>SUM($AG12:AG12)</f>
        <v>4</v>
      </c>
      <c r="AT12">
        <f>SUM($AG12:AH12)</f>
        <v>8</v>
      </c>
      <c r="AU12">
        <f>SUM($AG12:AI12)</f>
        <v>12</v>
      </c>
      <c r="AV12">
        <f>SUM($AG12:AJ12)</f>
        <v>16</v>
      </c>
      <c r="AX12">
        <f>SUM($AL12:AL12)</f>
        <v>40</v>
      </c>
      <c r="AY12">
        <f>SUM($AL12:AM12)</f>
        <v>80</v>
      </c>
      <c r="AZ12">
        <f>SUM($AL12:AN12)</f>
        <v>120</v>
      </c>
      <c r="BA12">
        <f>SUM($AL12:AO12)</f>
        <v>160</v>
      </c>
      <c r="BC12">
        <f t="array" ref="BC12">INDEX(DAT!$C$3:$C$26,MATCH(100*MainTour!$A12+RIGHT(BC$1,1),100*DAT!$A$3:$A$26+DAT!$B$3:$B$26,0))</f>
        <v>4</v>
      </c>
      <c r="BD12">
        <f t="array" ref="BD12">INDEX(DAT!$C$3:$C$26,MATCH(100*MainTour!$A12+RIGHT(BD$1,1),100*DAT!$A$3:$A$26+DAT!$B$3:$B$26,0))</f>
        <v>8</v>
      </c>
      <c r="BE12">
        <f t="array" ref="BE12">INDEX(DAT!$C$3:$C$26,MATCH(100*MainTour!$A12+RIGHT(BE$1,1),100*DAT!$A$3:$A$26+DAT!$B$3:$B$26,0))</f>
        <v>12</v>
      </c>
      <c r="BF12">
        <f t="array" ref="BF12">INDEX(DAT!$C$3:$C$26,MATCH(100*MainTour!$A12+RIGHT(BF$1,1),100*DAT!$A$3:$A$26+DAT!$B$3:$B$26,0))</f>
        <v>16</v>
      </c>
      <c r="BH12">
        <f t="array" ref="BH12">INDEX(DAT!$C$34:$C$57,MATCH(100*MainTour!$A12+RIGHT(BC$1,1),100*DAT!$A$34:$A$57+DAT!$B$34:$B$57,0))</f>
        <v>4</v>
      </c>
      <c r="BI12">
        <f t="array" ref="BI12">INDEX(DAT!$C$34:$C$57,MATCH(100*MainTour!$A12+RIGHT(BD$1,1),100*DAT!$A$34:$A$57+DAT!$B$34:$B$57,0))</f>
        <v>8</v>
      </c>
      <c r="BJ12">
        <f t="array" ref="BJ12">INDEX(DAT!$C$34:$C$57,MATCH(100*MainTour!$A12+RIGHT(BE$1,1),100*DAT!$A$34:$A$57+DAT!$B$34:$B$57,0))</f>
        <v>12</v>
      </c>
      <c r="BK12">
        <f t="array" ref="BK12">INDEX(DAT!$C$34:$C$57,MATCH(100*MainTour!$A12+RIGHT(BF$1,1),100*DAT!$A$34:$A$57+DAT!$B$34:$B$57,0))</f>
        <v>16</v>
      </c>
      <c r="BM12" t="b">
        <f t="shared" si="14"/>
        <v>1</v>
      </c>
      <c r="BN12" t="b">
        <f t="shared" si="15"/>
        <v>1</v>
      </c>
      <c r="BO12" t="b">
        <f t="shared" si="16"/>
        <v>1</v>
      </c>
      <c r="BP12" t="b">
        <f t="shared" si="17"/>
        <v>1</v>
      </c>
      <c r="BR12">
        <f t="array" ref="BR12">INDEX(DAT!$C$63:$C$86,MATCH(100*MainTour!$A12+RIGHT(BC$1,1),100*DAT!$A$63:$A$86+DAT!$B$63:$B$86,0))</f>
        <v>4</v>
      </c>
      <c r="BS12">
        <f t="array" ref="BS12">INDEX(DAT!$C$63:$C$86,MATCH(100*MainTour!$A12+RIGHT(BD$1,1),100*DAT!$A$63:$A$86+DAT!$B$63:$B$86,0))</f>
        <v>4</v>
      </c>
      <c r="BT12">
        <f t="array" ref="BT12">INDEX(DAT!$C$63:$C$86,MATCH(100*MainTour!$A12+RIGHT(BE$1,1),100*DAT!$A$63:$A$86+DAT!$B$63:$B$86,0))</f>
        <v>4</v>
      </c>
      <c r="BU12">
        <f t="array" ref="BU12">INDEX(DAT!$C$63:$C$86,MATCH(100*MainTour!$A12+RIGHT(BF$1,1),100*DAT!$A$63:$A$86+DAT!$B$63:$B$86,0))</f>
        <v>4</v>
      </c>
      <c r="BW12">
        <f t="array" ref="BW12">INDEX(DAT!$C$92:$C$115,MATCH(100*MainTour!$A12+RIGHT(BC$1,1),100*DAT!$A$92:$A$115+DAT!$B$92:$B$115,0))</f>
        <v>4</v>
      </c>
      <c r="BX12">
        <f t="array" ref="BX12">INDEX(DAT!$C$92:$C$115,MATCH(100*MainTour!$A12+RIGHT(BD$1,1),100*DAT!$A$92:$A$115+DAT!$B$92:$B$115,0))</f>
        <v>4</v>
      </c>
      <c r="BY12">
        <f t="array" ref="BY12">INDEX(DAT!$C$92:$C$115,MATCH(100*MainTour!$A12+RIGHT(BE$1,1),100*DAT!$A$92:$A$115+DAT!$B$92:$B$115,0))</f>
        <v>4</v>
      </c>
      <c r="BZ12">
        <f t="array" ref="BZ12">INDEX(DAT!$C$92:$C$115,MATCH(100*MainTour!$A12+RIGHT(BF$1,1),100*DAT!$A$92:$A$115+DAT!$B$92:$B$115,0))</f>
        <v>4</v>
      </c>
      <c r="CB12" t="b">
        <f t="shared" si="18"/>
        <v>1</v>
      </c>
      <c r="CC12" t="b">
        <f t="shared" si="19"/>
        <v>1</v>
      </c>
      <c r="CD12" t="b">
        <f t="shared" si="20"/>
        <v>1</v>
      </c>
      <c r="CE12" t="b">
        <f t="shared" si="21"/>
        <v>1</v>
      </c>
      <c r="CG12">
        <f t="array" ref="CG12">INDEX(DAT!$C$476:$C$499,MATCH(100*MainTour!$A12+RIGHT(BC$1,1),100*DAT!$A$476:$A$499+DAT!$B$476:$B$499,0))/2</f>
        <v>40</v>
      </c>
      <c r="CH12">
        <f t="array" ref="CH12">INDEX(DAT!$C$476:$C$499,MATCH(100*MainTour!$A12+RIGHT(BD$1,1),100*DAT!$A$476:$A$499+DAT!$B$476:$B$499,0))/2</f>
        <v>80</v>
      </c>
      <c r="CI12">
        <f t="array" ref="CI12">INDEX(DAT!$C$476:$C$499,MATCH(100*MainTour!$A12+RIGHT(BE$1,1),100*DAT!$A$476:$A$499+DAT!$B$476:$B$499,0))/2</f>
        <v>120</v>
      </c>
      <c r="CJ12">
        <f t="array" ref="CJ12">INDEX(DAT!$C$476:$C$499,MATCH(100*MainTour!$A12+RIGHT(BF$1,1),100*DAT!$A$476:$A$499+DAT!$B$476:$B$499,0))/2</f>
        <v>160</v>
      </c>
      <c r="CL12">
        <f t="array" ref="CL12">INDEX(DAT!$C$506:$C$529,MATCH(100*MainTour!$A12+RIGHT(BC$1,1),100*DAT!$A$506:$A$529+DAT!$B$506:$B$529,0))/2</f>
        <v>40</v>
      </c>
      <c r="CM12">
        <f t="array" ref="CM12">INDEX(DAT!$C$506:$C$529,MATCH(100*MainTour!$A12+RIGHT(BD$1,1),100*DAT!$A$506:$A$529+DAT!$B$506:$B$529,0))/2</f>
        <v>80</v>
      </c>
      <c r="CN12">
        <f t="array" ref="CN12">INDEX(DAT!$C$506:$C$529,MATCH(100*MainTour!$A12+RIGHT(BE$1,1),100*DAT!$A$506:$A$529+DAT!$B$506:$B$529,0))/2</f>
        <v>120</v>
      </c>
      <c r="CO12">
        <f t="array" ref="CO12">INDEX(DAT!$C$506:$C$529,MATCH(100*MainTour!$A12+RIGHT(BF$1,1),100*DAT!$A$506:$A$529+DAT!$B$506:$B$529,0))/2</f>
        <v>160</v>
      </c>
      <c r="CQ12" t="b">
        <f t="shared" si="22"/>
        <v>1</v>
      </c>
      <c r="CR12" t="b">
        <f t="shared" si="23"/>
        <v>1</v>
      </c>
      <c r="CS12" t="b">
        <f t="shared" si="24"/>
        <v>1</v>
      </c>
      <c r="CT12" t="b">
        <f t="shared" si="25"/>
        <v>1</v>
      </c>
      <c r="CV12">
        <f t="array" ref="CV12">INDEX(DAT!$C$544:$C$567,MATCH(100*MainTour!$A12+RIGHT(BC$1,1),100*DAT!$A$544:$A$567+DAT!$B$544:$B$567,0))/2</f>
        <v>40</v>
      </c>
      <c r="CW12">
        <f t="array" ref="CW12">INDEX(DAT!$C$544:$C$567,MATCH(100*MainTour!$A12+RIGHT(BD$1,1),100*DAT!$A$544:$A$567+DAT!$B$544:$B$567,0))/2</f>
        <v>40</v>
      </c>
      <c r="CX12">
        <f t="array" ref="CX12">INDEX(DAT!$C$544:$C$567,MATCH(100*MainTour!$A12+RIGHT(BE$1,1),100*DAT!$A$544:$A$567+DAT!$B$544:$B$567,0))/2</f>
        <v>40</v>
      </c>
      <c r="CY12">
        <f t="array" ref="CY12">INDEX(DAT!$C$544:$C$567,MATCH(100*MainTour!$A12+RIGHT(BF$1,1),100*DAT!$A$544:$A$567+DAT!$B$544:$B$567,0))/2</f>
        <v>40</v>
      </c>
      <c r="DA12">
        <f t="array" ref="DA12">INDEX(DAT!$C$573:$C$596,MATCH(100*MainTour!$A12+RIGHT(BC$1,1),100*DAT!$A$573:$A$596+DAT!$B$573:$B$596,0))/2</f>
        <v>40</v>
      </c>
      <c r="DB12">
        <f t="array" ref="DB12">INDEX(DAT!$C$573:$C$596,MATCH(100*MainTour!$A12+RIGHT(BD$1,1),100*DAT!$A$573:$A$596+DAT!$B$573:$B$596,0))/2</f>
        <v>40</v>
      </c>
      <c r="DC12">
        <f t="array" ref="DC12">INDEX(DAT!$C$573:$C$596,MATCH(100*MainTour!$A12+RIGHT(BE$1,1),100*DAT!$A$573:$A$596+DAT!$B$573:$B$596,0))/2</f>
        <v>40</v>
      </c>
      <c r="DD12">
        <f t="array" ref="DD12">INDEX(DAT!$C$573:$C$596,MATCH(100*MainTour!$A12+RIGHT(BF$1,1),100*DAT!$A$573:$A$596+DAT!$B$573:$B$596,0))/2</f>
        <v>40</v>
      </c>
      <c r="DF12" t="b">
        <f t="shared" si="26"/>
        <v>1</v>
      </c>
      <c r="DG12" t="b">
        <f t="shared" si="27"/>
        <v>1</v>
      </c>
      <c r="DH12" t="b">
        <f t="shared" si="28"/>
        <v>1</v>
      </c>
      <c r="DI12" t="b">
        <f t="shared" si="29"/>
        <v>1</v>
      </c>
    </row>
    <row r="13" spans="1:113" x14ac:dyDescent="0.25">
      <c r="A13" s="2">
        <v>1</v>
      </c>
      <c r="B13" s="5" t="s">
        <v>43</v>
      </c>
      <c r="C13" s="2" t="s">
        <v>5</v>
      </c>
      <c r="D13" s="2" t="s">
        <v>54</v>
      </c>
      <c r="E13" s="2" t="s">
        <v>5</v>
      </c>
      <c r="F13" s="2" t="s">
        <v>5</v>
      </c>
      <c r="G13" s="2" t="s">
        <v>5</v>
      </c>
      <c r="H13" s="5" t="s">
        <v>5</v>
      </c>
      <c r="I13" s="5" t="s">
        <v>5</v>
      </c>
      <c r="J13" s="2" t="s">
        <v>5</v>
      </c>
      <c r="K13" s="2" t="s">
        <v>5</v>
      </c>
      <c r="L13" s="2" t="s">
        <v>5</v>
      </c>
      <c r="M13" s="2" t="s">
        <v>55</v>
      </c>
      <c r="N13" s="2" t="s">
        <v>5</v>
      </c>
      <c r="O13" s="5" t="s">
        <v>54</v>
      </c>
      <c r="P13" s="5" t="s">
        <v>54</v>
      </c>
      <c r="Q13" s="2" t="s">
        <v>5</v>
      </c>
      <c r="R13" s="2" t="s">
        <v>55</v>
      </c>
      <c r="S13" s="2" t="s">
        <v>5</v>
      </c>
      <c r="T13" s="2" t="s">
        <v>5</v>
      </c>
      <c r="U13" s="2" t="s">
        <v>5</v>
      </c>
      <c r="V13" s="5" t="s">
        <v>5</v>
      </c>
      <c r="W13" s="5" t="s">
        <v>5</v>
      </c>
      <c r="X13" s="2" t="s">
        <v>5</v>
      </c>
      <c r="Y13" s="2" t="s">
        <v>55</v>
      </c>
      <c r="Z13" s="2" t="s">
        <v>5</v>
      </c>
      <c r="AA13" s="2" t="s">
        <v>5</v>
      </c>
      <c r="AB13" s="2" t="s">
        <v>5</v>
      </c>
      <c r="AC13" s="5" t="s">
        <v>54</v>
      </c>
      <c r="AE13">
        <f t="shared" si="2"/>
        <v>2</v>
      </c>
      <c r="AF13">
        <f t="shared" si="3"/>
        <v>8</v>
      </c>
      <c r="AG13">
        <f t="shared" si="4"/>
        <v>2</v>
      </c>
      <c r="AH13">
        <f t="shared" si="5"/>
        <v>2</v>
      </c>
      <c r="AI13">
        <f t="shared" si="6"/>
        <v>2</v>
      </c>
      <c r="AJ13">
        <f t="shared" si="7"/>
        <v>2</v>
      </c>
      <c r="AK13">
        <f t="shared" si="8"/>
        <v>44</v>
      </c>
      <c r="AL13">
        <f t="shared" si="9"/>
        <v>8</v>
      </c>
      <c r="AM13">
        <f t="shared" si="10"/>
        <v>12</v>
      </c>
      <c r="AN13">
        <f t="shared" si="11"/>
        <v>12</v>
      </c>
      <c r="AO13">
        <f t="shared" si="12"/>
        <v>12</v>
      </c>
      <c r="AQ13">
        <f t="shared" si="13"/>
        <v>4</v>
      </c>
      <c r="AS13">
        <f>SUM($AG13:AG13)</f>
        <v>2</v>
      </c>
      <c r="AT13">
        <f>SUM($AG13:AH13)</f>
        <v>4</v>
      </c>
      <c r="AU13">
        <f>SUM($AG13:AI13)</f>
        <v>6</v>
      </c>
      <c r="AV13">
        <f>SUM($AG13:AJ13)</f>
        <v>8</v>
      </c>
      <c r="AX13">
        <f>SUM($AL13:AL13)</f>
        <v>8</v>
      </c>
      <c r="AY13">
        <f>SUM($AL13:AM13)</f>
        <v>20</v>
      </c>
      <c r="AZ13">
        <f>SUM($AL13:AN13)</f>
        <v>32</v>
      </c>
      <c r="BA13">
        <f>SUM($AL13:AO13)</f>
        <v>44</v>
      </c>
      <c r="BC13">
        <f t="array" ref="BC13">INDEX(DAT!$C$3:$C$26,MATCH(100*MainTour!$A13+RIGHT(BC$1,1),100*DAT!$A$3:$A$26+DAT!$B$3:$B$26,0))</f>
        <v>2</v>
      </c>
      <c r="BD13">
        <f t="array" ref="BD13">INDEX(DAT!$C$3:$C$26,MATCH(100*MainTour!$A13+RIGHT(BD$1,1),100*DAT!$A$3:$A$26+DAT!$B$3:$B$26,0))</f>
        <v>4</v>
      </c>
      <c r="BE13">
        <f t="array" ref="BE13">INDEX(DAT!$C$3:$C$26,MATCH(100*MainTour!$A13+RIGHT(BE$1,1),100*DAT!$A$3:$A$26+DAT!$B$3:$B$26,0))</f>
        <v>6</v>
      </c>
      <c r="BF13">
        <f t="array" ref="BF13">INDEX(DAT!$C$3:$C$26,MATCH(100*MainTour!$A13+RIGHT(BF$1,1),100*DAT!$A$3:$A$26+DAT!$B$3:$B$26,0))</f>
        <v>8</v>
      </c>
      <c r="BH13">
        <f t="array" ref="BH13">INDEX(DAT!$C$34:$C$57,MATCH(100*MainTour!$A13+RIGHT(BC$1,1),100*DAT!$A$34:$A$57+DAT!$B$34:$B$57,0))</f>
        <v>5</v>
      </c>
      <c r="BI13">
        <f t="array" ref="BI13">INDEX(DAT!$C$34:$C$57,MATCH(100*MainTour!$A13+RIGHT(BD$1,1),100*DAT!$A$34:$A$57+DAT!$B$34:$B$57,0))</f>
        <v>10</v>
      </c>
      <c r="BJ13">
        <f t="array" ref="BJ13">INDEX(DAT!$C$34:$C$57,MATCH(100*MainTour!$A13+RIGHT(BE$1,1),100*DAT!$A$34:$A$57+DAT!$B$34:$B$57,0))</f>
        <v>15</v>
      </c>
      <c r="BK13">
        <f t="array" ref="BK13">INDEX(DAT!$C$34:$C$57,MATCH(100*MainTour!$A13+RIGHT(BF$1,1),100*DAT!$A$34:$A$57+DAT!$B$34:$B$57,0))</f>
        <v>20</v>
      </c>
      <c r="BM13" t="b">
        <f t="shared" si="14"/>
        <v>1</v>
      </c>
      <c r="BN13" t="b">
        <f t="shared" si="15"/>
        <v>1</v>
      </c>
      <c r="BO13" t="b">
        <f t="shared" si="16"/>
        <v>1</v>
      </c>
      <c r="BP13" t="b">
        <f t="shared" si="17"/>
        <v>1</v>
      </c>
      <c r="BR13">
        <f t="array" ref="BR13">INDEX(DAT!$C$63:$C$86,MATCH(100*MainTour!$A13+RIGHT(BC$1,1),100*DAT!$A$63:$A$86+DAT!$B$63:$B$86,0))</f>
        <v>2</v>
      </c>
      <c r="BS13">
        <f t="array" ref="BS13">INDEX(DAT!$C$63:$C$86,MATCH(100*MainTour!$A13+RIGHT(BD$1,1),100*DAT!$A$63:$A$86+DAT!$B$63:$B$86,0))</f>
        <v>2</v>
      </c>
      <c r="BT13">
        <f t="array" ref="BT13">INDEX(DAT!$C$63:$C$86,MATCH(100*MainTour!$A13+RIGHT(BE$1,1),100*DAT!$A$63:$A$86+DAT!$B$63:$B$86,0))</f>
        <v>2</v>
      </c>
      <c r="BU13">
        <f t="array" ref="BU13">INDEX(DAT!$C$63:$C$86,MATCH(100*MainTour!$A13+RIGHT(BF$1,1),100*DAT!$A$63:$A$86+DAT!$B$63:$B$86,0))</f>
        <v>2</v>
      </c>
      <c r="BW13">
        <f t="array" ref="BW13">INDEX(DAT!$C$92:$C$115,MATCH(100*MainTour!$A13+RIGHT(BC$1,1),100*DAT!$A$92:$A$115+DAT!$B$92:$B$115,0))</f>
        <v>5</v>
      </c>
      <c r="BX13">
        <f t="array" ref="BX13">INDEX(DAT!$C$92:$C$115,MATCH(100*MainTour!$A13+RIGHT(BD$1,1),100*DAT!$A$92:$A$115+DAT!$B$92:$B$115,0))</f>
        <v>5</v>
      </c>
      <c r="BY13">
        <f t="array" ref="BY13">INDEX(DAT!$C$92:$C$115,MATCH(100*MainTour!$A13+RIGHT(BE$1,1),100*DAT!$A$92:$A$115+DAT!$B$92:$B$115,0))</f>
        <v>5</v>
      </c>
      <c r="BZ13">
        <f t="array" ref="BZ13">INDEX(DAT!$C$92:$C$115,MATCH(100*MainTour!$A13+RIGHT(BF$1,1),100*DAT!$A$92:$A$115+DAT!$B$92:$B$115,0))</f>
        <v>5</v>
      </c>
      <c r="CB13" t="b">
        <f t="shared" si="18"/>
        <v>1</v>
      </c>
      <c r="CC13" t="b">
        <f t="shared" si="19"/>
        <v>1</v>
      </c>
      <c r="CD13" t="b">
        <f t="shared" si="20"/>
        <v>1</v>
      </c>
      <c r="CE13" t="b">
        <f t="shared" si="21"/>
        <v>1</v>
      </c>
      <c r="CG13">
        <f t="array" ref="CG13">INDEX(DAT!$C$476:$C$499,MATCH(100*MainTour!$A13+RIGHT(BC$1,1),100*DAT!$A$476:$A$499+DAT!$B$476:$B$499,0))/2</f>
        <v>8</v>
      </c>
      <c r="CH13">
        <f t="array" ref="CH13">INDEX(DAT!$C$476:$C$499,MATCH(100*MainTour!$A13+RIGHT(BD$1,1),100*DAT!$A$476:$A$499+DAT!$B$476:$B$499,0))/2</f>
        <v>16</v>
      </c>
      <c r="CI13">
        <f t="array" ref="CI13">INDEX(DAT!$C$476:$C$499,MATCH(100*MainTour!$A13+RIGHT(BE$1,1),100*DAT!$A$476:$A$499+DAT!$B$476:$B$499,0))/2</f>
        <v>24</v>
      </c>
      <c r="CJ13">
        <f t="array" ref="CJ13">INDEX(DAT!$C$476:$C$499,MATCH(100*MainTour!$A13+RIGHT(BF$1,1),100*DAT!$A$476:$A$499+DAT!$B$476:$B$499,0))/2</f>
        <v>32</v>
      </c>
      <c r="CL13">
        <f t="array" ref="CL13">INDEX(DAT!$C$506:$C$529,MATCH(100*MainTour!$A13+RIGHT(BC$1,1),100*DAT!$A$506:$A$529+DAT!$B$506:$B$529,0))/2</f>
        <v>32</v>
      </c>
      <c r="CM13">
        <f t="array" ref="CM13">INDEX(DAT!$C$506:$C$529,MATCH(100*MainTour!$A13+RIGHT(BD$1,1),100*DAT!$A$506:$A$529+DAT!$B$506:$B$529,0))/2</f>
        <v>64</v>
      </c>
      <c r="CN13">
        <f t="array" ref="CN13">INDEX(DAT!$C$506:$C$529,MATCH(100*MainTour!$A13+RIGHT(BE$1,1),100*DAT!$A$506:$A$529+DAT!$B$506:$B$529,0))/2</f>
        <v>96</v>
      </c>
      <c r="CO13">
        <f t="array" ref="CO13">INDEX(DAT!$C$506:$C$529,MATCH(100*MainTour!$A13+RIGHT(BF$1,1),100*DAT!$A$506:$A$529+DAT!$B$506:$B$529,0))/2</f>
        <v>128</v>
      </c>
      <c r="CQ13" t="b">
        <f t="shared" si="22"/>
        <v>1</v>
      </c>
      <c r="CR13" t="b">
        <f t="shared" si="23"/>
        <v>1</v>
      </c>
      <c r="CS13" t="b">
        <f t="shared" si="24"/>
        <v>1</v>
      </c>
      <c r="CT13" t="b">
        <f t="shared" si="25"/>
        <v>1</v>
      </c>
      <c r="CV13">
        <f t="array" ref="CV13">INDEX(DAT!$C$544:$C$567,MATCH(100*MainTour!$A13+RIGHT(BC$1,1),100*DAT!$A$544:$A$567+DAT!$B$544:$B$567,0))/2</f>
        <v>8</v>
      </c>
      <c r="CW13">
        <f t="array" ref="CW13">INDEX(DAT!$C$544:$C$567,MATCH(100*MainTour!$A13+RIGHT(BD$1,1),100*DAT!$A$544:$A$567+DAT!$B$544:$B$567,0))/2</f>
        <v>8</v>
      </c>
      <c r="CX13">
        <f t="array" ref="CX13">INDEX(DAT!$C$544:$C$567,MATCH(100*MainTour!$A13+RIGHT(BE$1,1),100*DAT!$A$544:$A$567+DAT!$B$544:$B$567,0))/2</f>
        <v>8</v>
      </c>
      <c r="CY13">
        <f t="array" ref="CY13">INDEX(DAT!$C$544:$C$567,MATCH(100*MainTour!$A13+RIGHT(BF$1,1),100*DAT!$A$544:$A$567+DAT!$B$544:$B$567,0))/2</f>
        <v>8</v>
      </c>
      <c r="DA13">
        <f t="array" ref="DA13">INDEX(DAT!$C$573:$C$596,MATCH(100*MainTour!$A13+RIGHT(BC$1,1),100*DAT!$A$573:$A$596+DAT!$B$573:$B$596,0))/2</f>
        <v>32</v>
      </c>
      <c r="DB13">
        <f t="array" ref="DB13">INDEX(DAT!$C$573:$C$596,MATCH(100*MainTour!$A13+RIGHT(BD$1,1),100*DAT!$A$573:$A$596+DAT!$B$573:$B$596,0))/2</f>
        <v>32</v>
      </c>
      <c r="DC13">
        <f t="array" ref="DC13">INDEX(DAT!$C$573:$C$596,MATCH(100*MainTour!$A13+RIGHT(BE$1,1),100*DAT!$A$573:$A$596+DAT!$B$573:$B$596,0))/2</f>
        <v>32</v>
      </c>
      <c r="DD13">
        <f t="array" ref="DD13">INDEX(DAT!$C$573:$C$596,MATCH(100*MainTour!$A13+RIGHT(BF$1,1),100*DAT!$A$573:$A$596+DAT!$B$573:$B$596,0))/2</f>
        <v>32</v>
      </c>
      <c r="DF13" t="b">
        <f t="shared" si="26"/>
        <v>1</v>
      </c>
      <c r="DG13" t="b">
        <f t="shared" si="27"/>
        <v>1</v>
      </c>
      <c r="DH13" t="b">
        <f t="shared" si="28"/>
        <v>1</v>
      </c>
      <c r="DI13" t="b">
        <f t="shared" si="29"/>
        <v>1</v>
      </c>
    </row>
    <row r="14" spans="1:113" x14ac:dyDescent="0.25">
      <c r="A14" s="2">
        <v>1</v>
      </c>
      <c r="B14" s="5" t="s">
        <v>1</v>
      </c>
      <c r="C14" s="2" t="s">
        <v>54</v>
      </c>
      <c r="D14" s="2" t="s">
        <v>5</v>
      </c>
      <c r="E14" s="2" t="s">
        <v>5</v>
      </c>
      <c r="F14" s="2" t="s">
        <v>5</v>
      </c>
      <c r="G14" s="2" t="s">
        <v>5</v>
      </c>
      <c r="H14" s="5" t="s">
        <v>54</v>
      </c>
      <c r="I14" s="5" t="s">
        <v>54</v>
      </c>
      <c r="J14" s="2" t="s">
        <v>5</v>
      </c>
      <c r="K14" s="2" t="s">
        <v>54</v>
      </c>
      <c r="L14" s="2" t="s">
        <v>5</v>
      </c>
      <c r="M14" s="2" t="s">
        <v>5</v>
      </c>
      <c r="N14" s="2" t="s">
        <v>5</v>
      </c>
      <c r="O14" s="5" t="s">
        <v>5</v>
      </c>
      <c r="P14" s="5" t="s">
        <v>5</v>
      </c>
      <c r="Q14" s="2" t="s">
        <v>54</v>
      </c>
      <c r="R14" s="2" t="s">
        <v>5</v>
      </c>
      <c r="S14" s="2" t="s">
        <v>5</v>
      </c>
      <c r="T14" s="2" t="s">
        <v>5</v>
      </c>
      <c r="U14" s="2" t="s">
        <v>5</v>
      </c>
      <c r="V14" s="5" t="s">
        <v>54</v>
      </c>
      <c r="W14" s="5" t="s">
        <v>54</v>
      </c>
      <c r="X14" s="2" t="s">
        <v>54</v>
      </c>
      <c r="Y14" s="2" t="s">
        <v>5</v>
      </c>
      <c r="Z14" s="2" t="s">
        <v>5</v>
      </c>
      <c r="AA14" s="2" t="s">
        <v>5</v>
      </c>
      <c r="AB14" s="2" t="s">
        <v>5</v>
      </c>
      <c r="AC14" s="5" t="s">
        <v>5</v>
      </c>
      <c r="AE14">
        <f t="shared" si="2"/>
        <v>3</v>
      </c>
      <c r="AF14">
        <f t="shared" si="3"/>
        <v>8</v>
      </c>
      <c r="AG14">
        <f t="shared" si="4"/>
        <v>2</v>
      </c>
      <c r="AH14">
        <f t="shared" si="5"/>
        <v>2</v>
      </c>
      <c r="AI14">
        <f t="shared" si="6"/>
        <v>2</v>
      </c>
      <c r="AJ14">
        <f t="shared" si="7"/>
        <v>2</v>
      </c>
      <c r="AK14">
        <f t="shared" si="8"/>
        <v>32</v>
      </c>
      <c r="AL14">
        <f t="shared" si="9"/>
        <v>8</v>
      </c>
      <c r="AM14">
        <f t="shared" si="10"/>
        <v>8</v>
      </c>
      <c r="AN14">
        <f t="shared" si="11"/>
        <v>8</v>
      </c>
      <c r="AO14">
        <f t="shared" si="12"/>
        <v>8</v>
      </c>
      <c r="AQ14">
        <f t="shared" si="13"/>
        <v>4</v>
      </c>
      <c r="AS14">
        <f>SUM($AG14:AG14)</f>
        <v>2</v>
      </c>
      <c r="AT14">
        <f>SUM($AG14:AH14)</f>
        <v>4</v>
      </c>
      <c r="AU14">
        <f>SUM($AG14:AI14)</f>
        <v>6</v>
      </c>
      <c r="AV14">
        <f>SUM($AG14:AJ14)</f>
        <v>8</v>
      </c>
      <c r="AX14">
        <f>SUM($AL14:AL14)</f>
        <v>8</v>
      </c>
      <c r="AY14">
        <f>SUM($AL14:AM14)</f>
        <v>16</v>
      </c>
      <c r="AZ14">
        <f>SUM($AL14:AN14)</f>
        <v>24</v>
      </c>
      <c r="BA14">
        <f>SUM($AL14:AO14)</f>
        <v>32</v>
      </c>
      <c r="BC14">
        <f t="array" ref="BC14">INDEX(DAT!$C$3:$C$26,MATCH(100*MainTour!$A14+RIGHT(BC$1,1),100*DAT!$A$3:$A$26+DAT!$B$3:$B$26,0))</f>
        <v>2</v>
      </c>
      <c r="BD14">
        <f t="array" ref="BD14">INDEX(DAT!$C$3:$C$26,MATCH(100*MainTour!$A14+RIGHT(BD$1,1),100*DAT!$A$3:$A$26+DAT!$B$3:$B$26,0))</f>
        <v>4</v>
      </c>
      <c r="BE14">
        <f t="array" ref="BE14">INDEX(DAT!$C$3:$C$26,MATCH(100*MainTour!$A14+RIGHT(BE$1,1),100*DAT!$A$3:$A$26+DAT!$B$3:$B$26,0))</f>
        <v>6</v>
      </c>
      <c r="BF14">
        <f t="array" ref="BF14">INDEX(DAT!$C$3:$C$26,MATCH(100*MainTour!$A14+RIGHT(BF$1,1),100*DAT!$A$3:$A$26+DAT!$B$3:$B$26,0))</f>
        <v>8</v>
      </c>
      <c r="BH14">
        <f t="array" ref="BH14">INDEX(DAT!$C$34:$C$57,MATCH(100*MainTour!$A14+RIGHT(BC$1,1),100*DAT!$A$34:$A$57+DAT!$B$34:$B$57,0))</f>
        <v>5</v>
      </c>
      <c r="BI14">
        <f t="array" ref="BI14">INDEX(DAT!$C$34:$C$57,MATCH(100*MainTour!$A14+RIGHT(BD$1,1),100*DAT!$A$34:$A$57+DAT!$B$34:$B$57,0))</f>
        <v>10</v>
      </c>
      <c r="BJ14">
        <f t="array" ref="BJ14">INDEX(DAT!$C$34:$C$57,MATCH(100*MainTour!$A14+RIGHT(BE$1,1),100*DAT!$A$34:$A$57+DAT!$B$34:$B$57,0))</f>
        <v>15</v>
      </c>
      <c r="BK14">
        <f t="array" ref="BK14">INDEX(DAT!$C$34:$C$57,MATCH(100*MainTour!$A14+RIGHT(BF$1,1),100*DAT!$A$34:$A$57+DAT!$B$34:$B$57,0))</f>
        <v>20</v>
      </c>
      <c r="BM14" t="b">
        <f t="shared" si="14"/>
        <v>1</v>
      </c>
      <c r="BN14" t="b">
        <f t="shared" si="15"/>
        <v>1</v>
      </c>
      <c r="BO14" t="b">
        <f t="shared" si="16"/>
        <v>1</v>
      </c>
      <c r="BP14" t="b">
        <f t="shared" si="17"/>
        <v>1</v>
      </c>
      <c r="BR14">
        <f t="array" ref="BR14">INDEX(DAT!$C$63:$C$86,MATCH(100*MainTour!$A14+RIGHT(BC$1,1),100*DAT!$A$63:$A$86+DAT!$B$63:$B$86,0))</f>
        <v>2</v>
      </c>
      <c r="BS14">
        <f t="array" ref="BS14">INDEX(DAT!$C$63:$C$86,MATCH(100*MainTour!$A14+RIGHT(BD$1,1),100*DAT!$A$63:$A$86+DAT!$B$63:$B$86,0))</f>
        <v>2</v>
      </c>
      <c r="BT14">
        <f t="array" ref="BT14">INDEX(DAT!$C$63:$C$86,MATCH(100*MainTour!$A14+RIGHT(BE$1,1),100*DAT!$A$63:$A$86+DAT!$B$63:$B$86,0))</f>
        <v>2</v>
      </c>
      <c r="BU14">
        <f t="array" ref="BU14">INDEX(DAT!$C$63:$C$86,MATCH(100*MainTour!$A14+RIGHT(BF$1,1),100*DAT!$A$63:$A$86+DAT!$B$63:$B$86,0))</f>
        <v>2</v>
      </c>
      <c r="BW14">
        <f t="array" ref="BW14">INDEX(DAT!$C$92:$C$115,MATCH(100*MainTour!$A14+RIGHT(BC$1,1),100*DAT!$A$92:$A$115+DAT!$B$92:$B$115,0))</f>
        <v>5</v>
      </c>
      <c r="BX14">
        <f t="array" ref="BX14">INDEX(DAT!$C$92:$C$115,MATCH(100*MainTour!$A14+RIGHT(BD$1,1),100*DAT!$A$92:$A$115+DAT!$B$92:$B$115,0))</f>
        <v>5</v>
      </c>
      <c r="BY14">
        <f t="array" ref="BY14">INDEX(DAT!$C$92:$C$115,MATCH(100*MainTour!$A14+RIGHT(BE$1,1),100*DAT!$A$92:$A$115+DAT!$B$92:$B$115,0))</f>
        <v>5</v>
      </c>
      <c r="BZ14">
        <f t="array" ref="BZ14">INDEX(DAT!$C$92:$C$115,MATCH(100*MainTour!$A14+RIGHT(BF$1,1),100*DAT!$A$92:$A$115+DAT!$B$92:$B$115,0))</f>
        <v>5</v>
      </c>
      <c r="CB14" t="b">
        <f t="shared" si="18"/>
        <v>1</v>
      </c>
      <c r="CC14" t="b">
        <f t="shared" si="19"/>
        <v>1</v>
      </c>
      <c r="CD14" t="b">
        <f t="shared" si="20"/>
        <v>1</v>
      </c>
      <c r="CE14" t="b">
        <f t="shared" si="21"/>
        <v>1</v>
      </c>
      <c r="CG14">
        <f t="array" ref="CG14">INDEX(DAT!$C$476:$C$499,MATCH(100*MainTour!$A14+RIGHT(BC$1,1),100*DAT!$A$476:$A$499+DAT!$B$476:$B$499,0))/2</f>
        <v>8</v>
      </c>
      <c r="CH14">
        <f t="array" ref="CH14">INDEX(DAT!$C$476:$C$499,MATCH(100*MainTour!$A14+RIGHT(BD$1,1),100*DAT!$A$476:$A$499+DAT!$B$476:$B$499,0))/2</f>
        <v>16</v>
      </c>
      <c r="CI14">
        <f t="array" ref="CI14">INDEX(DAT!$C$476:$C$499,MATCH(100*MainTour!$A14+RIGHT(BE$1,1),100*DAT!$A$476:$A$499+DAT!$B$476:$B$499,0))/2</f>
        <v>24</v>
      </c>
      <c r="CJ14">
        <f t="array" ref="CJ14">INDEX(DAT!$C$476:$C$499,MATCH(100*MainTour!$A14+RIGHT(BF$1,1),100*DAT!$A$476:$A$499+DAT!$B$476:$B$499,0))/2</f>
        <v>32</v>
      </c>
      <c r="CL14">
        <f t="array" ref="CL14">INDEX(DAT!$C$506:$C$529,MATCH(100*MainTour!$A14+RIGHT(BC$1,1),100*DAT!$A$506:$A$529+DAT!$B$506:$B$529,0))/2</f>
        <v>32</v>
      </c>
      <c r="CM14">
        <f t="array" ref="CM14">INDEX(DAT!$C$506:$C$529,MATCH(100*MainTour!$A14+RIGHT(BD$1,1),100*DAT!$A$506:$A$529+DAT!$B$506:$B$529,0))/2</f>
        <v>64</v>
      </c>
      <c r="CN14">
        <f t="array" ref="CN14">INDEX(DAT!$C$506:$C$529,MATCH(100*MainTour!$A14+RIGHT(BE$1,1),100*DAT!$A$506:$A$529+DAT!$B$506:$B$529,0))/2</f>
        <v>96</v>
      </c>
      <c r="CO14">
        <f t="array" ref="CO14">INDEX(DAT!$C$506:$C$529,MATCH(100*MainTour!$A14+RIGHT(BF$1,1),100*DAT!$A$506:$A$529+DAT!$B$506:$B$529,0))/2</f>
        <v>128</v>
      </c>
      <c r="CQ14" t="b">
        <f t="shared" si="22"/>
        <v>1</v>
      </c>
      <c r="CR14" t="b">
        <f t="shared" si="23"/>
        <v>1</v>
      </c>
      <c r="CS14" t="b">
        <f t="shared" si="24"/>
        <v>1</v>
      </c>
      <c r="CT14" t="b">
        <f t="shared" si="25"/>
        <v>1</v>
      </c>
      <c r="CV14">
        <f t="array" ref="CV14">INDEX(DAT!$C$544:$C$567,MATCH(100*MainTour!$A14+RIGHT(BC$1,1),100*DAT!$A$544:$A$567+DAT!$B$544:$B$567,0))/2</f>
        <v>8</v>
      </c>
      <c r="CW14">
        <f t="array" ref="CW14">INDEX(DAT!$C$544:$C$567,MATCH(100*MainTour!$A14+RIGHT(BD$1,1),100*DAT!$A$544:$A$567+DAT!$B$544:$B$567,0))/2</f>
        <v>8</v>
      </c>
      <c r="CX14">
        <f t="array" ref="CX14">INDEX(DAT!$C$544:$C$567,MATCH(100*MainTour!$A14+RIGHT(BE$1,1),100*DAT!$A$544:$A$567+DAT!$B$544:$B$567,0))/2</f>
        <v>8</v>
      </c>
      <c r="CY14">
        <f t="array" ref="CY14">INDEX(DAT!$C$544:$C$567,MATCH(100*MainTour!$A14+RIGHT(BF$1,1),100*DAT!$A$544:$A$567+DAT!$B$544:$B$567,0))/2</f>
        <v>8</v>
      </c>
      <c r="DA14">
        <f t="array" ref="DA14">INDEX(DAT!$C$573:$C$596,MATCH(100*MainTour!$A14+RIGHT(BC$1,1),100*DAT!$A$573:$A$596+DAT!$B$573:$B$596,0))/2</f>
        <v>32</v>
      </c>
      <c r="DB14">
        <f t="array" ref="DB14">INDEX(DAT!$C$573:$C$596,MATCH(100*MainTour!$A14+RIGHT(BD$1,1),100*DAT!$A$573:$A$596+DAT!$B$573:$B$596,0))/2</f>
        <v>32</v>
      </c>
      <c r="DC14">
        <f t="array" ref="DC14">INDEX(DAT!$C$573:$C$596,MATCH(100*MainTour!$A14+RIGHT(BE$1,1),100*DAT!$A$573:$A$596+DAT!$B$573:$B$596,0))/2</f>
        <v>32</v>
      </c>
      <c r="DD14">
        <f t="array" ref="DD14">INDEX(DAT!$C$573:$C$596,MATCH(100*MainTour!$A14+RIGHT(BF$1,1),100*DAT!$A$573:$A$596+DAT!$B$573:$B$596,0))/2</f>
        <v>32</v>
      </c>
      <c r="DF14" t="b">
        <f t="shared" si="26"/>
        <v>1</v>
      </c>
      <c r="DG14" t="b">
        <f t="shared" si="27"/>
        <v>1</v>
      </c>
      <c r="DH14" t="b">
        <f t="shared" si="28"/>
        <v>1</v>
      </c>
      <c r="DI14" t="b">
        <f t="shared" si="29"/>
        <v>1</v>
      </c>
    </row>
    <row r="15" spans="1:113" x14ac:dyDescent="0.25">
      <c r="A15" s="2">
        <v>1</v>
      </c>
      <c r="B15" s="5" t="s">
        <v>1</v>
      </c>
      <c r="C15" s="2" t="s">
        <v>54</v>
      </c>
      <c r="D15" s="2" t="s">
        <v>5</v>
      </c>
      <c r="E15" s="2" t="s">
        <v>54</v>
      </c>
      <c r="F15" s="2" t="s">
        <v>54</v>
      </c>
      <c r="G15" s="2" t="s">
        <v>5</v>
      </c>
      <c r="H15" s="5" t="s">
        <v>5</v>
      </c>
      <c r="I15" s="5" t="s">
        <v>5</v>
      </c>
      <c r="J15" s="2" t="s">
        <v>54</v>
      </c>
      <c r="K15" s="2" t="s">
        <v>54</v>
      </c>
      <c r="L15" s="2" t="s">
        <v>5</v>
      </c>
      <c r="M15" s="2" t="s">
        <v>5</v>
      </c>
      <c r="N15" s="2" t="s">
        <v>5</v>
      </c>
      <c r="O15" s="5" t="s">
        <v>5</v>
      </c>
      <c r="P15" s="5" t="s">
        <v>5</v>
      </c>
      <c r="Q15" s="2" t="s">
        <v>5</v>
      </c>
      <c r="R15" s="2" t="s">
        <v>5</v>
      </c>
      <c r="S15" s="2" t="s">
        <v>54</v>
      </c>
      <c r="T15" s="2" t="s">
        <v>54</v>
      </c>
      <c r="U15" s="2" t="s">
        <v>5</v>
      </c>
      <c r="V15" s="5" t="s">
        <v>5</v>
      </c>
      <c r="W15" s="5" t="s">
        <v>5</v>
      </c>
      <c r="X15" s="2" t="s">
        <v>5</v>
      </c>
      <c r="Y15" s="2" t="s">
        <v>5</v>
      </c>
      <c r="Z15" s="2" t="s">
        <v>54</v>
      </c>
      <c r="AA15" s="2" t="s">
        <v>5</v>
      </c>
      <c r="AB15" s="2" t="s">
        <v>55</v>
      </c>
      <c r="AC15" s="5" t="s">
        <v>5</v>
      </c>
      <c r="AE15">
        <f t="shared" si="2"/>
        <v>2</v>
      </c>
      <c r="AF15">
        <f t="shared" si="3"/>
        <v>9</v>
      </c>
      <c r="AG15">
        <f t="shared" si="4"/>
        <v>3</v>
      </c>
      <c r="AH15">
        <f t="shared" si="5"/>
        <v>2</v>
      </c>
      <c r="AI15">
        <f t="shared" si="6"/>
        <v>2</v>
      </c>
      <c r="AJ15">
        <f t="shared" si="7"/>
        <v>2</v>
      </c>
      <c r="AK15">
        <f t="shared" si="8"/>
        <v>40</v>
      </c>
      <c r="AL15">
        <f t="shared" si="9"/>
        <v>12</v>
      </c>
      <c r="AM15">
        <f t="shared" si="10"/>
        <v>8</v>
      </c>
      <c r="AN15">
        <f t="shared" si="11"/>
        <v>8</v>
      </c>
      <c r="AO15">
        <f t="shared" si="12"/>
        <v>12</v>
      </c>
      <c r="AQ15">
        <f t="shared" si="13"/>
        <v>0</v>
      </c>
      <c r="AS15">
        <f>SUM($AG15:AG15)</f>
        <v>3</v>
      </c>
      <c r="AT15">
        <f>SUM($AG15:AH15)</f>
        <v>5</v>
      </c>
      <c r="AU15">
        <f>SUM($AG15:AI15)</f>
        <v>7</v>
      </c>
      <c r="AV15">
        <f>SUM($AG15:AJ15)</f>
        <v>9</v>
      </c>
      <c r="AX15">
        <f>SUM($AL15:AL15)</f>
        <v>12</v>
      </c>
      <c r="AY15">
        <f>SUM($AL15:AM15)</f>
        <v>20</v>
      </c>
      <c r="AZ15">
        <f>SUM($AL15:AN15)</f>
        <v>28</v>
      </c>
      <c r="BA15">
        <f>SUM($AL15:AO15)</f>
        <v>40</v>
      </c>
      <c r="BC15">
        <f t="array" ref="BC15">INDEX(DAT!$C$3:$C$26,MATCH(100*MainTour!$A15+RIGHT(BC$1,1),100*DAT!$A$3:$A$26+DAT!$B$3:$B$26,0))</f>
        <v>2</v>
      </c>
      <c r="BD15">
        <f t="array" ref="BD15">INDEX(DAT!$C$3:$C$26,MATCH(100*MainTour!$A15+RIGHT(BD$1,1),100*DAT!$A$3:$A$26+DAT!$B$3:$B$26,0))</f>
        <v>4</v>
      </c>
      <c r="BE15">
        <f t="array" ref="BE15">INDEX(DAT!$C$3:$C$26,MATCH(100*MainTour!$A15+RIGHT(BE$1,1),100*DAT!$A$3:$A$26+DAT!$B$3:$B$26,0))</f>
        <v>6</v>
      </c>
      <c r="BF15">
        <f t="array" ref="BF15">INDEX(DAT!$C$3:$C$26,MATCH(100*MainTour!$A15+RIGHT(BF$1,1),100*DAT!$A$3:$A$26+DAT!$B$3:$B$26,0))</f>
        <v>8</v>
      </c>
      <c r="BH15">
        <f t="array" ref="BH15">INDEX(DAT!$C$34:$C$57,MATCH(100*MainTour!$A15+RIGHT(BC$1,1),100*DAT!$A$34:$A$57+DAT!$B$34:$B$57,0))</f>
        <v>5</v>
      </c>
      <c r="BI15">
        <f t="array" ref="BI15">INDEX(DAT!$C$34:$C$57,MATCH(100*MainTour!$A15+RIGHT(BD$1,1),100*DAT!$A$34:$A$57+DAT!$B$34:$B$57,0))</f>
        <v>10</v>
      </c>
      <c r="BJ15">
        <f t="array" ref="BJ15">INDEX(DAT!$C$34:$C$57,MATCH(100*MainTour!$A15+RIGHT(BE$1,1),100*DAT!$A$34:$A$57+DAT!$B$34:$B$57,0))</f>
        <v>15</v>
      </c>
      <c r="BK15">
        <f t="array" ref="BK15">INDEX(DAT!$C$34:$C$57,MATCH(100*MainTour!$A15+RIGHT(BF$1,1),100*DAT!$A$34:$A$57+DAT!$B$34:$B$57,0))</f>
        <v>20</v>
      </c>
      <c r="BM15" t="b">
        <f t="shared" si="14"/>
        <v>1</v>
      </c>
      <c r="BN15" t="b">
        <f t="shared" si="15"/>
        <v>1</v>
      </c>
      <c r="BO15" t="b">
        <f t="shared" si="16"/>
        <v>1</v>
      </c>
      <c r="BP15" t="b">
        <f t="shared" si="17"/>
        <v>1</v>
      </c>
      <c r="BR15">
        <f t="array" ref="BR15">INDEX(DAT!$C$63:$C$86,MATCH(100*MainTour!$A15+RIGHT(BC$1,1),100*DAT!$A$63:$A$86+DAT!$B$63:$B$86,0))</f>
        <v>2</v>
      </c>
      <c r="BS15">
        <f t="array" ref="BS15">INDEX(DAT!$C$63:$C$86,MATCH(100*MainTour!$A15+RIGHT(BD$1,1),100*DAT!$A$63:$A$86+DAT!$B$63:$B$86,0))</f>
        <v>2</v>
      </c>
      <c r="BT15">
        <f t="array" ref="BT15">INDEX(DAT!$C$63:$C$86,MATCH(100*MainTour!$A15+RIGHT(BE$1,1),100*DAT!$A$63:$A$86+DAT!$B$63:$B$86,0))</f>
        <v>2</v>
      </c>
      <c r="BU15">
        <f t="array" ref="BU15">INDEX(DAT!$C$63:$C$86,MATCH(100*MainTour!$A15+RIGHT(BF$1,1),100*DAT!$A$63:$A$86+DAT!$B$63:$B$86,0))</f>
        <v>2</v>
      </c>
      <c r="BW15">
        <f t="array" ref="BW15">INDEX(DAT!$C$92:$C$115,MATCH(100*MainTour!$A15+RIGHT(BC$1,1),100*DAT!$A$92:$A$115+DAT!$B$92:$B$115,0))</f>
        <v>5</v>
      </c>
      <c r="BX15">
        <f t="array" ref="BX15">INDEX(DAT!$C$92:$C$115,MATCH(100*MainTour!$A15+RIGHT(BD$1,1),100*DAT!$A$92:$A$115+DAT!$B$92:$B$115,0))</f>
        <v>5</v>
      </c>
      <c r="BY15">
        <f t="array" ref="BY15">INDEX(DAT!$C$92:$C$115,MATCH(100*MainTour!$A15+RIGHT(BE$1,1),100*DAT!$A$92:$A$115+DAT!$B$92:$B$115,0))</f>
        <v>5</v>
      </c>
      <c r="BZ15">
        <f t="array" ref="BZ15">INDEX(DAT!$C$92:$C$115,MATCH(100*MainTour!$A15+RIGHT(BF$1,1),100*DAT!$A$92:$A$115+DAT!$B$92:$B$115,0))</f>
        <v>5</v>
      </c>
      <c r="CB15" t="b">
        <f t="shared" si="18"/>
        <v>1</v>
      </c>
      <c r="CC15" t="b">
        <f t="shared" si="19"/>
        <v>1</v>
      </c>
      <c r="CD15" t="b">
        <f t="shared" si="20"/>
        <v>1</v>
      </c>
      <c r="CE15" t="b">
        <f t="shared" si="21"/>
        <v>1</v>
      </c>
      <c r="CG15">
        <f t="array" ref="CG15">INDEX(DAT!$C$476:$C$499,MATCH(100*MainTour!$A15+RIGHT(BC$1,1),100*DAT!$A$476:$A$499+DAT!$B$476:$B$499,0))/2</f>
        <v>8</v>
      </c>
      <c r="CH15">
        <f t="array" ref="CH15">INDEX(DAT!$C$476:$C$499,MATCH(100*MainTour!$A15+RIGHT(BD$1,1),100*DAT!$A$476:$A$499+DAT!$B$476:$B$499,0))/2</f>
        <v>16</v>
      </c>
      <c r="CI15">
        <f t="array" ref="CI15">INDEX(DAT!$C$476:$C$499,MATCH(100*MainTour!$A15+RIGHT(BE$1,1),100*DAT!$A$476:$A$499+DAT!$B$476:$B$499,0))/2</f>
        <v>24</v>
      </c>
      <c r="CJ15">
        <f t="array" ref="CJ15">INDEX(DAT!$C$476:$C$499,MATCH(100*MainTour!$A15+RIGHT(BF$1,1),100*DAT!$A$476:$A$499+DAT!$B$476:$B$499,0))/2</f>
        <v>32</v>
      </c>
      <c r="CL15">
        <f t="array" ref="CL15">INDEX(DAT!$C$506:$C$529,MATCH(100*MainTour!$A15+RIGHT(BC$1,1),100*DAT!$A$506:$A$529+DAT!$B$506:$B$529,0))/2</f>
        <v>32</v>
      </c>
      <c r="CM15">
        <f t="array" ref="CM15">INDEX(DAT!$C$506:$C$529,MATCH(100*MainTour!$A15+RIGHT(BD$1,1),100*DAT!$A$506:$A$529+DAT!$B$506:$B$529,0))/2</f>
        <v>64</v>
      </c>
      <c r="CN15">
        <f t="array" ref="CN15">INDEX(DAT!$C$506:$C$529,MATCH(100*MainTour!$A15+RIGHT(BE$1,1),100*DAT!$A$506:$A$529+DAT!$B$506:$B$529,0))/2</f>
        <v>96</v>
      </c>
      <c r="CO15">
        <f t="array" ref="CO15">INDEX(DAT!$C$506:$C$529,MATCH(100*MainTour!$A15+RIGHT(BF$1,1),100*DAT!$A$506:$A$529+DAT!$B$506:$B$529,0))/2</f>
        <v>128</v>
      </c>
      <c r="CQ15" t="b">
        <f t="shared" si="22"/>
        <v>1</v>
      </c>
      <c r="CR15" t="b">
        <f t="shared" si="23"/>
        <v>1</v>
      </c>
      <c r="CS15" t="b">
        <f t="shared" si="24"/>
        <v>1</v>
      </c>
      <c r="CT15" t="b">
        <f t="shared" si="25"/>
        <v>1</v>
      </c>
      <c r="CV15">
        <f t="array" ref="CV15">INDEX(DAT!$C$544:$C$567,MATCH(100*MainTour!$A15+RIGHT(BC$1,1),100*DAT!$A$544:$A$567+DAT!$B$544:$B$567,0))/2</f>
        <v>8</v>
      </c>
      <c r="CW15">
        <f t="array" ref="CW15">INDEX(DAT!$C$544:$C$567,MATCH(100*MainTour!$A15+RIGHT(BD$1,1),100*DAT!$A$544:$A$567+DAT!$B$544:$B$567,0))/2</f>
        <v>8</v>
      </c>
      <c r="CX15">
        <f t="array" ref="CX15">INDEX(DAT!$C$544:$C$567,MATCH(100*MainTour!$A15+RIGHT(BE$1,1),100*DAT!$A$544:$A$567+DAT!$B$544:$B$567,0))/2</f>
        <v>8</v>
      </c>
      <c r="CY15">
        <f t="array" ref="CY15">INDEX(DAT!$C$544:$C$567,MATCH(100*MainTour!$A15+RIGHT(BF$1,1),100*DAT!$A$544:$A$567+DAT!$B$544:$B$567,0))/2</f>
        <v>8</v>
      </c>
      <c r="DA15">
        <f t="array" ref="DA15">INDEX(DAT!$C$573:$C$596,MATCH(100*MainTour!$A15+RIGHT(BC$1,1),100*DAT!$A$573:$A$596+DAT!$B$573:$B$596,0))/2</f>
        <v>32</v>
      </c>
      <c r="DB15">
        <f t="array" ref="DB15">INDEX(DAT!$C$573:$C$596,MATCH(100*MainTour!$A15+RIGHT(BD$1,1),100*DAT!$A$573:$A$596+DAT!$B$573:$B$596,0))/2</f>
        <v>32</v>
      </c>
      <c r="DC15">
        <f t="array" ref="DC15">INDEX(DAT!$C$573:$C$596,MATCH(100*MainTour!$A15+RIGHT(BE$1,1),100*DAT!$A$573:$A$596+DAT!$B$573:$B$596,0))/2</f>
        <v>32</v>
      </c>
      <c r="DD15">
        <f t="array" ref="DD15">INDEX(DAT!$C$573:$C$596,MATCH(100*MainTour!$A15+RIGHT(BF$1,1),100*DAT!$A$573:$A$596+DAT!$B$573:$B$596,0))/2</f>
        <v>32</v>
      </c>
      <c r="DF15" t="b">
        <f t="shared" si="26"/>
        <v>1</v>
      </c>
      <c r="DG15" t="b">
        <f t="shared" si="27"/>
        <v>1</v>
      </c>
      <c r="DH15" t="b">
        <f t="shared" si="28"/>
        <v>1</v>
      </c>
      <c r="DI15" t="b">
        <f t="shared" si="29"/>
        <v>1</v>
      </c>
    </row>
    <row r="16" spans="1:113" x14ac:dyDescent="0.25">
      <c r="A16" s="2">
        <v>5</v>
      </c>
      <c r="B16" s="5" t="s">
        <v>1</v>
      </c>
      <c r="C16" s="2" t="s">
        <v>56</v>
      </c>
      <c r="D16" s="2" t="s">
        <v>56</v>
      </c>
      <c r="E16" s="2" t="s">
        <v>5</v>
      </c>
      <c r="F16" s="2" t="s">
        <v>5</v>
      </c>
      <c r="G16" s="2" t="s">
        <v>5</v>
      </c>
      <c r="H16" s="5" t="s">
        <v>5</v>
      </c>
      <c r="I16" s="5" t="s">
        <v>5</v>
      </c>
      <c r="J16" s="2" t="s">
        <v>5</v>
      </c>
      <c r="K16" s="2" t="s">
        <v>5</v>
      </c>
      <c r="L16" s="2" t="s">
        <v>56</v>
      </c>
      <c r="M16" s="2" t="s">
        <v>5</v>
      </c>
      <c r="N16" s="2" t="s">
        <v>56</v>
      </c>
      <c r="O16" s="5" t="s">
        <v>5</v>
      </c>
      <c r="P16" s="5" t="s">
        <v>5</v>
      </c>
      <c r="Q16" s="2" t="s">
        <v>5</v>
      </c>
      <c r="R16" s="2" t="s">
        <v>5</v>
      </c>
      <c r="S16" s="2" t="s">
        <v>5</v>
      </c>
      <c r="T16" s="2" t="s">
        <v>5</v>
      </c>
      <c r="U16" s="2" t="s">
        <v>56</v>
      </c>
      <c r="V16" s="5" t="s">
        <v>5</v>
      </c>
      <c r="W16" s="5" t="s">
        <v>5</v>
      </c>
      <c r="X16" s="2" t="s">
        <v>5</v>
      </c>
      <c r="Y16" s="2" t="s">
        <v>56</v>
      </c>
      <c r="Z16" s="2" t="s">
        <v>5</v>
      </c>
      <c r="AA16" s="2" t="s">
        <v>5</v>
      </c>
      <c r="AB16" s="2" t="s">
        <v>5</v>
      </c>
      <c r="AC16" s="5" t="s">
        <v>5</v>
      </c>
      <c r="AE16">
        <f t="shared" si="2"/>
        <v>2</v>
      </c>
      <c r="AF16">
        <f t="shared" si="3"/>
        <v>6</v>
      </c>
      <c r="AG16">
        <f t="shared" si="4"/>
        <v>2</v>
      </c>
      <c r="AH16">
        <f t="shared" si="5"/>
        <v>2</v>
      </c>
      <c r="AI16">
        <f t="shared" si="6"/>
        <v>1</v>
      </c>
      <c r="AJ16">
        <f t="shared" si="7"/>
        <v>1</v>
      </c>
      <c r="AK16">
        <f t="shared" si="8"/>
        <v>60</v>
      </c>
      <c r="AL16">
        <f t="shared" si="9"/>
        <v>20</v>
      </c>
      <c r="AM16">
        <f t="shared" si="10"/>
        <v>20</v>
      </c>
      <c r="AN16">
        <f t="shared" si="11"/>
        <v>10</v>
      </c>
      <c r="AO16">
        <f t="shared" si="12"/>
        <v>10</v>
      </c>
      <c r="AQ16">
        <f t="shared" si="13"/>
        <v>0</v>
      </c>
      <c r="AS16">
        <f>SUM($AG16:AG16)</f>
        <v>2</v>
      </c>
      <c r="AT16">
        <f>SUM($AG16:AH16)</f>
        <v>4</v>
      </c>
      <c r="AU16">
        <f>SUM($AG16:AI16)</f>
        <v>5</v>
      </c>
      <c r="AV16">
        <f>SUM($AG16:AJ16)</f>
        <v>6</v>
      </c>
      <c r="AX16">
        <f>SUM($AL16:AL16)</f>
        <v>20</v>
      </c>
      <c r="AY16">
        <f>SUM($AL16:AM16)</f>
        <v>40</v>
      </c>
      <c r="AZ16">
        <f>SUM($AL16:AN16)</f>
        <v>50</v>
      </c>
      <c r="BA16">
        <f>SUM($AL16:AO16)</f>
        <v>60</v>
      </c>
      <c r="BC16">
        <f t="array" ref="BC16">INDEX(DAT!$C$3:$C$26,MATCH(100*MainTour!$A16+RIGHT(BC$1,1),100*DAT!$A$3:$A$26+DAT!$B$3:$B$26,0))</f>
        <v>1</v>
      </c>
      <c r="BD16">
        <f t="array" ref="BD16">INDEX(DAT!$C$3:$C$26,MATCH(100*MainTour!$A16+RIGHT(BD$1,1),100*DAT!$A$3:$A$26+DAT!$B$3:$B$26,0))</f>
        <v>2</v>
      </c>
      <c r="BE16">
        <f t="array" ref="BE16">INDEX(DAT!$C$3:$C$26,MATCH(100*MainTour!$A16+RIGHT(BE$1,1),100*DAT!$A$3:$A$26+DAT!$B$3:$B$26,0))</f>
        <v>3</v>
      </c>
      <c r="BF16">
        <f t="array" ref="BF16">INDEX(DAT!$C$3:$C$26,MATCH(100*MainTour!$A16+RIGHT(BF$1,1),100*DAT!$A$3:$A$26+DAT!$B$3:$B$26,0))</f>
        <v>4</v>
      </c>
      <c r="BH16">
        <f t="array" ref="BH16">INDEX(DAT!$C$34:$C$57,MATCH(100*MainTour!$A16+RIGHT(BC$1,1),100*DAT!$A$34:$A$57+DAT!$B$34:$B$57,0))</f>
        <v>3</v>
      </c>
      <c r="BI16">
        <f t="array" ref="BI16">INDEX(DAT!$C$34:$C$57,MATCH(100*MainTour!$A16+RIGHT(BD$1,1),100*DAT!$A$34:$A$57+DAT!$B$34:$B$57,0))</f>
        <v>6</v>
      </c>
      <c r="BJ16">
        <f t="array" ref="BJ16">INDEX(DAT!$C$34:$C$57,MATCH(100*MainTour!$A16+RIGHT(BE$1,1),100*DAT!$A$34:$A$57+DAT!$B$34:$B$57,0))</f>
        <v>9</v>
      </c>
      <c r="BK16">
        <f t="array" ref="BK16">INDEX(DAT!$C$34:$C$57,MATCH(100*MainTour!$A16+RIGHT(BF$1,1),100*DAT!$A$34:$A$57+DAT!$B$34:$B$57,0))</f>
        <v>12</v>
      </c>
      <c r="BM16" t="b">
        <f t="shared" si="14"/>
        <v>1</v>
      </c>
      <c r="BN16" t="b">
        <f t="shared" si="15"/>
        <v>1</v>
      </c>
      <c r="BO16" t="b">
        <f t="shared" si="16"/>
        <v>1</v>
      </c>
      <c r="BP16" t="b">
        <f t="shared" si="17"/>
        <v>1</v>
      </c>
      <c r="BR16">
        <f t="array" ref="BR16">INDEX(DAT!$C$63:$C$86,MATCH(100*MainTour!$A16+RIGHT(BC$1,1),100*DAT!$A$63:$A$86+DAT!$B$63:$B$86,0))</f>
        <v>1</v>
      </c>
      <c r="BS16">
        <f t="array" ref="BS16">INDEX(DAT!$C$63:$C$86,MATCH(100*MainTour!$A16+RIGHT(BD$1,1),100*DAT!$A$63:$A$86+DAT!$B$63:$B$86,0))</f>
        <v>1</v>
      </c>
      <c r="BT16">
        <f t="array" ref="BT16">INDEX(DAT!$C$63:$C$86,MATCH(100*MainTour!$A16+RIGHT(BE$1,1),100*DAT!$A$63:$A$86+DAT!$B$63:$B$86,0))</f>
        <v>1</v>
      </c>
      <c r="BU16">
        <f t="array" ref="BU16">INDEX(DAT!$C$63:$C$86,MATCH(100*MainTour!$A16+RIGHT(BF$1,1),100*DAT!$A$63:$A$86+DAT!$B$63:$B$86,0))</f>
        <v>1</v>
      </c>
      <c r="BW16">
        <f t="array" ref="BW16">INDEX(DAT!$C$92:$C$115,MATCH(100*MainTour!$A16+RIGHT(BC$1,1),100*DAT!$A$92:$A$115+DAT!$B$92:$B$115,0))</f>
        <v>3</v>
      </c>
      <c r="BX16">
        <f t="array" ref="BX16">INDEX(DAT!$C$92:$C$115,MATCH(100*MainTour!$A16+RIGHT(BD$1,1),100*DAT!$A$92:$A$115+DAT!$B$92:$B$115,0))</f>
        <v>3</v>
      </c>
      <c r="BY16">
        <f t="array" ref="BY16">INDEX(DAT!$C$92:$C$115,MATCH(100*MainTour!$A16+RIGHT(BE$1,1),100*DAT!$A$92:$A$115+DAT!$B$92:$B$115,0))</f>
        <v>3</v>
      </c>
      <c r="BZ16">
        <f t="array" ref="BZ16">INDEX(DAT!$C$92:$C$115,MATCH(100*MainTour!$A16+RIGHT(BF$1,1),100*DAT!$A$92:$A$115+DAT!$B$92:$B$115,0))</f>
        <v>3</v>
      </c>
      <c r="CB16" t="b">
        <f t="shared" si="18"/>
        <v>1</v>
      </c>
      <c r="CC16" t="b">
        <f t="shared" si="19"/>
        <v>1</v>
      </c>
      <c r="CD16" t="b">
        <f t="shared" si="20"/>
        <v>1</v>
      </c>
      <c r="CE16" t="b">
        <f t="shared" si="21"/>
        <v>1</v>
      </c>
      <c r="CG16">
        <f t="array" ref="CG16">INDEX(DAT!$C$476:$C$499,MATCH(100*MainTour!$A16+RIGHT(BC$1,1),100*DAT!$A$476:$A$499+DAT!$B$476:$B$499,0))/2</f>
        <v>10</v>
      </c>
      <c r="CH16">
        <f t="array" ref="CH16">INDEX(DAT!$C$476:$C$499,MATCH(100*MainTour!$A16+RIGHT(BD$1,1),100*DAT!$A$476:$A$499+DAT!$B$476:$B$499,0))/2</f>
        <v>20</v>
      </c>
      <c r="CI16">
        <f t="array" ref="CI16">INDEX(DAT!$C$476:$C$499,MATCH(100*MainTour!$A16+RIGHT(BE$1,1),100*DAT!$A$476:$A$499+DAT!$B$476:$B$499,0))/2</f>
        <v>30</v>
      </c>
      <c r="CJ16">
        <f t="array" ref="CJ16">INDEX(DAT!$C$476:$C$499,MATCH(100*MainTour!$A16+RIGHT(BF$1,1),100*DAT!$A$476:$A$499+DAT!$B$476:$B$499,0))/2</f>
        <v>40</v>
      </c>
      <c r="CL16">
        <f t="array" ref="CL16">INDEX(DAT!$C$506:$C$529,MATCH(100*MainTour!$A16+RIGHT(BC$1,1),100*DAT!$A$506:$A$529+DAT!$B$506:$B$529,0))/2</f>
        <v>30</v>
      </c>
      <c r="CM16">
        <f t="array" ref="CM16">INDEX(DAT!$C$506:$C$529,MATCH(100*MainTour!$A16+RIGHT(BD$1,1),100*DAT!$A$506:$A$529+DAT!$B$506:$B$529,0))/2</f>
        <v>60</v>
      </c>
      <c r="CN16">
        <f t="array" ref="CN16">INDEX(DAT!$C$506:$C$529,MATCH(100*MainTour!$A16+RIGHT(BE$1,1),100*DAT!$A$506:$A$529+DAT!$B$506:$B$529,0))/2</f>
        <v>90</v>
      </c>
      <c r="CO16">
        <f t="array" ref="CO16">INDEX(DAT!$C$506:$C$529,MATCH(100*MainTour!$A16+RIGHT(BF$1,1),100*DAT!$A$506:$A$529+DAT!$B$506:$B$529,0))/2</f>
        <v>120</v>
      </c>
      <c r="CQ16" t="b">
        <f t="shared" si="22"/>
        <v>1</v>
      </c>
      <c r="CR16" t="b">
        <f t="shared" si="23"/>
        <v>1</v>
      </c>
      <c r="CS16" t="b">
        <f t="shared" si="24"/>
        <v>1</v>
      </c>
      <c r="CT16" t="b">
        <f t="shared" si="25"/>
        <v>1</v>
      </c>
      <c r="CV16">
        <f t="array" ref="CV16">INDEX(DAT!$C$544:$C$567,MATCH(100*MainTour!$A16+RIGHT(BC$1,1),100*DAT!$A$544:$A$567+DAT!$B$544:$B$567,0))/2</f>
        <v>10</v>
      </c>
      <c r="CW16">
        <f t="array" ref="CW16">INDEX(DAT!$C$544:$C$567,MATCH(100*MainTour!$A16+RIGHT(BD$1,1),100*DAT!$A$544:$A$567+DAT!$B$544:$B$567,0))/2</f>
        <v>10</v>
      </c>
      <c r="CX16">
        <f t="array" ref="CX16">INDEX(DAT!$C$544:$C$567,MATCH(100*MainTour!$A16+RIGHT(BE$1,1),100*DAT!$A$544:$A$567+DAT!$B$544:$B$567,0))/2</f>
        <v>10</v>
      </c>
      <c r="CY16">
        <f t="array" ref="CY16">INDEX(DAT!$C$544:$C$567,MATCH(100*MainTour!$A16+RIGHT(BF$1,1),100*DAT!$A$544:$A$567+DAT!$B$544:$B$567,0))/2</f>
        <v>10</v>
      </c>
      <c r="DA16">
        <f t="array" ref="DA16">INDEX(DAT!$C$573:$C$596,MATCH(100*MainTour!$A16+RIGHT(BC$1,1),100*DAT!$A$573:$A$596+DAT!$B$573:$B$596,0))/2</f>
        <v>30</v>
      </c>
      <c r="DB16">
        <f t="array" ref="DB16">INDEX(DAT!$C$573:$C$596,MATCH(100*MainTour!$A16+RIGHT(BD$1,1),100*DAT!$A$573:$A$596+DAT!$B$573:$B$596,0))/2</f>
        <v>30</v>
      </c>
      <c r="DC16">
        <f t="array" ref="DC16">INDEX(DAT!$C$573:$C$596,MATCH(100*MainTour!$A16+RIGHT(BE$1,1),100*DAT!$A$573:$A$596+DAT!$B$573:$B$596,0))/2</f>
        <v>30</v>
      </c>
      <c r="DD16">
        <f t="array" ref="DD16">INDEX(DAT!$C$573:$C$596,MATCH(100*MainTour!$A16+RIGHT(BF$1,1),100*DAT!$A$573:$A$596+DAT!$B$573:$B$596,0))/2</f>
        <v>30</v>
      </c>
      <c r="DF16" t="b">
        <f t="shared" si="26"/>
        <v>1</v>
      </c>
      <c r="DG16" t="b">
        <f t="shared" si="27"/>
        <v>1</v>
      </c>
      <c r="DH16" t="b">
        <f t="shared" si="28"/>
        <v>1</v>
      </c>
      <c r="DI16" t="b">
        <f t="shared" si="29"/>
        <v>1</v>
      </c>
    </row>
    <row r="17" spans="1:113" x14ac:dyDescent="0.25">
      <c r="A17" s="2">
        <v>1</v>
      </c>
      <c r="B17" s="5" t="s">
        <v>1</v>
      </c>
      <c r="C17" s="2" t="s">
        <v>57</v>
      </c>
      <c r="D17" s="2" t="s">
        <v>5</v>
      </c>
      <c r="E17" s="2" t="s">
        <v>57</v>
      </c>
      <c r="F17" s="2" t="s">
        <v>5</v>
      </c>
      <c r="G17" s="2" t="s">
        <v>58</v>
      </c>
      <c r="H17" s="5" t="s">
        <v>5</v>
      </c>
      <c r="I17" s="5" t="s">
        <v>5</v>
      </c>
      <c r="J17" s="2" t="s">
        <v>57</v>
      </c>
      <c r="K17" s="2" t="s">
        <v>58</v>
      </c>
      <c r="L17" s="2" t="s">
        <v>5</v>
      </c>
      <c r="M17" s="2" t="s">
        <v>5</v>
      </c>
      <c r="N17" s="2" t="s">
        <v>5</v>
      </c>
      <c r="O17" s="5" t="s">
        <v>5</v>
      </c>
      <c r="P17" s="5" t="s">
        <v>5</v>
      </c>
      <c r="Q17" s="2" t="s">
        <v>5</v>
      </c>
      <c r="R17" s="2" t="s">
        <v>5</v>
      </c>
      <c r="S17" s="2" t="s">
        <v>5</v>
      </c>
      <c r="T17" s="2" t="s">
        <v>57</v>
      </c>
      <c r="U17" s="2" t="s">
        <v>58</v>
      </c>
      <c r="V17" s="5" t="s">
        <v>5</v>
      </c>
      <c r="W17" s="5" t="s">
        <v>5</v>
      </c>
      <c r="X17" s="2" t="s">
        <v>5</v>
      </c>
      <c r="Y17" s="2" t="s">
        <v>5</v>
      </c>
      <c r="Z17" s="2" t="s">
        <v>57</v>
      </c>
      <c r="AA17" s="2" t="s">
        <v>58</v>
      </c>
      <c r="AB17" s="2" t="s">
        <v>5</v>
      </c>
      <c r="AC17" s="5" t="s">
        <v>5</v>
      </c>
      <c r="AE17">
        <f t="shared" si="2"/>
        <v>2</v>
      </c>
      <c r="AF17">
        <f t="shared" si="3"/>
        <v>9</v>
      </c>
      <c r="AG17">
        <f t="shared" si="4"/>
        <v>3</v>
      </c>
      <c r="AH17">
        <f t="shared" si="5"/>
        <v>2</v>
      </c>
      <c r="AI17">
        <f t="shared" si="6"/>
        <v>2</v>
      </c>
      <c r="AJ17">
        <f t="shared" si="7"/>
        <v>2</v>
      </c>
      <c r="AK17">
        <f t="shared" si="8"/>
        <v>56</v>
      </c>
      <c r="AL17">
        <f t="shared" si="9"/>
        <v>20</v>
      </c>
      <c r="AM17">
        <f t="shared" si="10"/>
        <v>12</v>
      </c>
      <c r="AN17">
        <f t="shared" si="11"/>
        <v>12</v>
      </c>
      <c r="AO17">
        <f t="shared" si="12"/>
        <v>12</v>
      </c>
      <c r="AQ17">
        <f t="shared" si="13"/>
        <v>0</v>
      </c>
      <c r="AS17">
        <f>SUM($AG17:AG17)</f>
        <v>3</v>
      </c>
      <c r="AT17">
        <f>SUM($AG17:AH17)</f>
        <v>5</v>
      </c>
      <c r="AU17">
        <f>SUM($AG17:AI17)</f>
        <v>7</v>
      </c>
      <c r="AV17">
        <f>SUM($AG17:AJ17)</f>
        <v>9</v>
      </c>
      <c r="AX17">
        <f>SUM($AL17:AL17)</f>
        <v>20</v>
      </c>
      <c r="AY17">
        <f>SUM($AL17:AM17)</f>
        <v>32</v>
      </c>
      <c r="AZ17">
        <f>SUM($AL17:AN17)</f>
        <v>44</v>
      </c>
      <c r="BA17">
        <f>SUM($AL17:AO17)</f>
        <v>56</v>
      </c>
      <c r="BC17">
        <f t="array" ref="BC17">INDEX(DAT!$C$3:$C$26,MATCH(100*MainTour!$A17+RIGHT(BC$1,1),100*DAT!$A$3:$A$26+DAT!$B$3:$B$26,0))</f>
        <v>2</v>
      </c>
      <c r="BD17">
        <f t="array" ref="BD17">INDEX(DAT!$C$3:$C$26,MATCH(100*MainTour!$A17+RIGHT(BD$1,1),100*DAT!$A$3:$A$26+DAT!$B$3:$B$26,0))</f>
        <v>4</v>
      </c>
      <c r="BE17">
        <f t="array" ref="BE17">INDEX(DAT!$C$3:$C$26,MATCH(100*MainTour!$A17+RIGHT(BE$1,1),100*DAT!$A$3:$A$26+DAT!$B$3:$B$26,0))</f>
        <v>6</v>
      </c>
      <c r="BF17">
        <f t="array" ref="BF17">INDEX(DAT!$C$3:$C$26,MATCH(100*MainTour!$A17+RIGHT(BF$1,1),100*DAT!$A$3:$A$26+DAT!$B$3:$B$26,0))</f>
        <v>8</v>
      </c>
      <c r="BH17">
        <f t="array" ref="BH17">INDEX(DAT!$C$34:$C$57,MATCH(100*MainTour!$A17+RIGHT(BC$1,1),100*DAT!$A$34:$A$57+DAT!$B$34:$B$57,0))</f>
        <v>5</v>
      </c>
      <c r="BI17">
        <f t="array" ref="BI17">INDEX(DAT!$C$34:$C$57,MATCH(100*MainTour!$A17+RIGHT(BD$1,1),100*DAT!$A$34:$A$57+DAT!$B$34:$B$57,0))</f>
        <v>10</v>
      </c>
      <c r="BJ17">
        <f t="array" ref="BJ17">INDEX(DAT!$C$34:$C$57,MATCH(100*MainTour!$A17+RIGHT(BE$1,1),100*DAT!$A$34:$A$57+DAT!$B$34:$B$57,0))</f>
        <v>15</v>
      </c>
      <c r="BK17">
        <f t="array" ref="BK17">INDEX(DAT!$C$34:$C$57,MATCH(100*MainTour!$A17+RIGHT(BF$1,1),100*DAT!$A$34:$A$57+DAT!$B$34:$B$57,0))</f>
        <v>20</v>
      </c>
      <c r="BM17" t="b">
        <f t="shared" si="14"/>
        <v>1</v>
      </c>
      <c r="BN17" t="b">
        <f t="shared" si="15"/>
        <v>1</v>
      </c>
      <c r="BO17" t="b">
        <f t="shared" si="16"/>
        <v>1</v>
      </c>
      <c r="BP17" t="b">
        <f t="shared" si="17"/>
        <v>1</v>
      </c>
      <c r="BR17">
        <f t="array" ref="BR17">INDEX(DAT!$C$63:$C$86,MATCH(100*MainTour!$A17+RIGHT(BC$1,1),100*DAT!$A$63:$A$86+DAT!$B$63:$B$86,0))</f>
        <v>2</v>
      </c>
      <c r="BS17">
        <f t="array" ref="BS17">INDEX(DAT!$C$63:$C$86,MATCH(100*MainTour!$A17+RIGHT(BD$1,1),100*DAT!$A$63:$A$86+DAT!$B$63:$B$86,0))</f>
        <v>2</v>
      </c>
      <c r="BT17">
        <f t="array" ref="BT17">INDEX(DAT!$C$63:$C$86,MATCH(100*MainTour!$A17+RIGHT(BE$1,1),100*DAT!$A$63:$A$86+DAT!$B$63:$B$86,0))</f>
        <v>2</v>
      </c>
      <c r="BU17">
        <f t="array" ref="BU17">INDEX(DAT!$C$63:$C$86,MATCH(100*MainTour!$A17+RIGHT(BF$1,1),100*DAT!$A$63:$A$86+DAT!$B$63:$B$86,0))</f>
        <v>2</v>
      </c>
      <c r="BW17">
        <f t="array" ref="BW17">INDEX(DAT!$C$92:$C$115,MATCH(100*MainTour!$A17+RIGHT(BC$1,1),100*DAT!$A$92:$A$115+DAT!$B$92:$B$115,0))</f>
        <v>5</v>
      </c>
      <c r="BX17">
        <f t="array" ref="BX17">INDEX(DAT!$C$92:$C$115,MATCH(100*MainTour!$A17+RIGHT(BD$1,1),100*DAT!$A$92:$A$115+DAT!$B$92:$B$115,0))</f>
        <v>5</v>
      </c>
      <c r="BY17">
        <f t="array" ref="BY17">INDEX(DAT!$C$92:$C$115,MATCH(100*MainTour!$A17+RIGHT(BE$1,1),100*DAT!$A$92:$A$115+DAT!$B$92:$B$115,0))</f>
        <v>5</v>
      </c>
      <c r="BZ17">
        <f t="array" ref="BZ17">INDEX(DAT!$C$92:$C$115,MATCH(100*MainTour!$A17+RIGHT(BF$1,1),100*DAT!$A$92:$A$115+DAT!$B$92:$B$115,0))</f>
        <v>5</v>
      </c>
      <c r="CB17" t="b">
        <f t="shared" si="18"/>
        <v>1</v>
      </c>
      <c r="CC17" t="b">
        <f t="shared" si="19"/>
        <v>1</v>
      </c>
      <c r="CD17" t="b">
        <f t="shared" si="20"/>
        <v>1</v>
      </c>
      <c r="CE17" t="b">
        <f t="shared" si="21"/>
        <v>1</v>
      </c>
      <c r="CG17">
        <f t="array" ref="CG17">INDEX(DAT!$C$476:$C$499,MATCH(100*MainTour!$A17+RIGHT(BC$1,1),100*DAT!$A$476:$A$499+DAT!$B$476:$B$499,0))/2</f>
        <v>8</v>
      </c>
      <c r="CH17">
        <f t="array" ref="CH17">INDEX(DAT!$C$476:$C$499,MATCH(100*MainTour!$A17+RIGHT(BD$1,1),100*DAT!$A$476:$A$499+DAT!$B$476:$B$499,0))/2</f>
        <v>16</v>
      </c>
      <c r="CI17">
        <f t="array" ref="CI17">INDEX(DAT!$C$476:$C$499,MATCH(100*MainTour!$A17+RIGHT(BE$1,1),100*DAT!$A$476:$A$499+DAT!$B$476:$B$499,0))/2</f>
        <v>24</v>
      </c>
      <c r="CJ17">
        <f t="array" ref="CJ17">INDEX(DAT!$C$476:$C$499,MATCH(100*MainTour!$A17+RIGHT(BF$1,1),100*DAT!$A$476:$A$499+DAT!$B$476:$B$499,0))/2</f>
        <v>32</v>
      </c>
      <c r="CL17">
        <f t="array" ref="CL17">INDEX(DAT!$C$506:$C$529,MATCH(100*MainTour!$A17+RIGHT(BC$1,1),100*DAT!$A$506:$A$529+DAT!$B$506:$B$529,0))/2</f>
        <v>32</v>
      </c>
      <c r="CM17">
        <f t="array" ref="CM17">INDEX(DAT!$C$506:$C$529,MATCH(100*MainTour!$A17+RIGHT(BD$1,1),100*DAT!$A$506:$A$529+DAT!$B$506:$B$529,0))/2</f>
        <v>64</v>
      </c>
      <c r="CN17">
        <f t="array" ref="CN17">INDEX(DAT!$C$506:$C$529,MATCH(100*MainTour!$A17+RIGHT(BE$1,1),100*DAT!$A$506:$A$529+DAT!$B$506:$B$529,0))/2</f>
        <v>96</v>
      </c>
      <c r="CO17">
        <f t="array" ref="CO17">INDEX(DAT!$C$506:$C$529,MATCH(100*MainTour!$A17+RIGHT(BF$1,1),100*DAT!$A$506:$A$529+DAT!$B$506:$B$529,0))/2</f>
        <v>128</v>
      </c>
      <c r="CQ17" t="b">
        <f t="shared" si="22"/>
        <v>1</v>
      </c>
      <c r="CR17" t="b">
        <f t="shared" si="23"/>
        <v>1</v>
      </c>
      <c r="CS17" t="b">
        <f t="shared" si="24"/>
        <v>1</v>
      </c>
      <c r="CT17" t="b">
        <f t="shared" si="25"/>
        <v>1</v>
      </c>
      <c r="CV17">
        <f t="array" ref="CV17">INDEX(DAT!$C$544:$C$567,MATCH(100*MainTour!$A17+RIGHT(BC$1,1),100*DAT!$A$544:$A$567+DAT!$B$544:$B$567,0))/2</f>
        <v>8</v>
      </c>
      <c r="CW17">
        <f t="array" ref="CW17">INDEX(DAT!$C$544:$C$567,MATCH(100*MainTour!$A17+RIGHT(BD$1,1),100*DAT!$A$544:$A$567+DAT!$B$544:$B$567,0))/2</f>
        <v>8</v>
      </c>
      <c r="CX17">
        <f t="array" ref="CX17">INDEX(DAT!$C$544:$C$567,MATCH(100*MainTour!$A17+RIGHT(BE$1,1),100*DAT!$A$544:$A$567+DAT!$B$544:$B$567,0))/2</f>
        <v>8</v>
      </c>
      <c r="CY17">
        <f t="array" ref="CY17">INDEX(DAT!$C$544:$C$567,MATCH(100*MainTour!$A17+RIGHT(BF$1,1),100*DAT!$A$544:$A$567+DAT!$B$544:$B$567,0))/2</f>
        <v>8</v>
      </c>
      <c r="DA17">
        <f t="array" ref="DA17">INDEX(DAT!$C$573:$C$596,MATCH(100*MainTour!$A17+RIGHT(BC$1,1),100*DAT!$A$573:$A$596+DAT!$B$573:$B$596,0))/2</f>
        <v>32</v>
      </c>
      <c r="DB17">
        <f t="array" ref="DB17">INDEX(DAT!$C$573:$C$596,MATCH(100*MainTour!$A17+RIGHT(BD$1,1),100*DAT!$A$573:$A$596+DAT!$B$573:$B$596,0))/2</f>
        <v>32</v>
      </c>
      <c r="DC17">
        <f t="array" ref="DC17">INDEX(DAT!$C$573:$C$596,MATCH(100*MainTour!$A17+RIGHT(BE$1,1),100*DAT!$A$573:$A$596+DAT!$B$573:$B$596,0))/2</f>
        <v>32</v>
      </c>
      <c r="DD17">
        <f t="array" ref="DD17">INDEX(DAT!$C$573:$C$596,MATCH(100*MainTour!$A17+RIGHT(BF$1,1),100*DAT!$A$573:$A$596+DAT!$B$573:$B$596,0))/2</f>
        <v>32</v>
      </c>
      <c r="DF17" t="b">
        <f t="shared" si="26"/>
        <v>1</v>
      </c>
      <c r="DG17" t="b">
        <f t="shared" si="27"/>
        <v>1</v>
      </c>
      <c r="DH17" t="b">
        <f t="shared" si="28"/>
        <v>1</v>
      </c>
      <c r="DI17" t="b">
        <f t="shared" si="29"/>
        <v>1</v>
      </c>
    </row>
    <row r="18" spans="1:113" x14ac:dyDescent="0.25">
      <c r="A18" s="2">
        <v>1</v>
      </c>
      <c r="B18" s="5" t="s">
        <v>1</v>
      </c>
      <c r="C18" s="2" t="s">
        <v>5</v>
      </c>
      <c r="D18" s="2" t="s">
        <v>5</v>
      </c>
      <c r="E18" s="2" t="s">
        <v>5</v>
      </c>
      <c r="F18" s="2" t="s">
        <v>59</v>
      </c>
      <c r="G18" s="2" t="s">
        <v>5</v>
      </c>
      <c r="H18" s="5" t="s">
        <v>59</v>
      </c>
      <c r="I18" s="5" t="s">
        <v>59</v>
      </c>
      <c r="J18" s="2" t="s">
        <v>5</v>
      </c>
      <c r="K18" s="2" t="s">
        <v>59</v>
      </c>
      <c r="L18" s="2" t="s">
        <v>5</v>
      </c>
      <c r="M18" s="2" t="s">
        <v>5</v>
      </c>
      <c r="N18" s="2" t="s">
        <v>5</v>
      </c>
      <c r="O18" s="5" t="s">
        <v>5</v>
      </c>
      <c r="P18" s="5" t="s">
        <v>5</v>
      </c>
      <c r="Q18" s="2" t="s">
        <v>60</v>
      </c>
      <c r="R18" s="2" t="s">
        <v>5</v>
      </c>
      <c r="S18" s="2" t="s">
        <v>5</v>
      </c>
      <c r="T18" s="2" t="s">
        <v>5</v>
      </c>
      <c r="U18" s="2" t="s">
        <v>5</v>
      </c>
      <c r="V18" s="5" t="s">
        <v>59</v>
      </c>
      <c r="W18" s="5" t="s">
        <v>59</v>
      </c>
      <c r="X18" s="2" t="s">
        <v>5</v>
      </c>
      <c r="Y18" s="2" t="s">
        <v>5</v>
      </c>
      <c r="Z18" s="2" t="s">
        <v>5</v>
      </c>
      <c r="AA18" s="2" t="s">
        <v>60</v>
      </c>
      <c r="AB18" s="2" t="s">
        <v>5</v>
      </c>
      <c r="AC18" s="5" t="s">
        <v>5</v>
      </c>
      <c r="AE18">
        <f t="shared" si="2"/>
        <v>2</v>
      </c>
      <c r="AF18">
        <f t="shared" si="3"/>
        <v>8</v>
      </c>
      <c r="AG18">
        <f t="shared" si="4"/>
        <v>2</v>
      </c>
      <c r="AH18">
        <f t="shared" si="5"/>
        <v>2</v>
      </c>
      <c r="AI18">
        <f t="shared" si="6"/>
        <v>2</v>
      </c>
      <c r="AJ18">
        <f t="shared" si="7"/>
        <v>2</v>
      </c>
      <c r="AK18">
        <f t="shared" si="8"/>
        <v>56</v>
      </c>
      <c r="AL18">
        <f t="shared" si="9"/>
        <v>16</v>
      </c>
      <c r="AM18">
        <f t="shared" si="10"/>
        <v>16</v>
      </c>
      <c r="AN18">
        <f t="shared" si="11"/>
        <v>12</v>
      </c>
      <c r="AO18">
        <f t="shared" si="12"/>
        <v>12</v>
      </c>
      <c r="AQ18">
        <f t="shared" si="13"/>
        <v>4</v>
      </c>
      <c r="AS18">
        <f>SUM($AG18:AG18)</f>
        <v>2</v>
      </c>
      <c r="AT18">
        <f>SUM($AG18:AH18)</f>
        <v>4</v>
      </c>
      <c r="AU18">
        <f>SUM($AG18:AI18)</f>
        <v>6</v>
      </c>
      <c r="AV18">
        <f>SUM($AG18:AJ18)</f>
        <v>8</v>
      </c>
      <c r="AX18">
        <f>SUM($AL18:AL18)</f>
        <v>16</v>
      </c>
      <c r="AY18">
        <f>SUM($AL18:AM18)</f>
        <v>32</v>
      </c>
      <c r="AZ18">
        <f>SUM($AL18:AN18)</f>
        <v>44</v>
      </c>
      <c r="BA18">
        <f>SUM($AL18:AO18)</f>
        <v>56</v>
      </c>
      <c r="BC18">
        <f t="array" ref="BC18">INDEX(DAT!$C$3:$C$26,MATCH(100*MainTour!$A18+RIGHT(BC$1,1),100*DAT!$A$3:$A$26+DAT!$B$3:$B$26,0))</f>
        <v>2</v>
      </c>
      <c r="BD18">
        <f t="array" ref="BD18">INDEX(DAT!$C$3:$C$26,MATCH(100*MainTour!$A18+RIGHT(BD$1,1),100*DAT!$A$3:$A$26+DAT!$B$3:$B$26,0))</f>
        <v>4</v>
      </c>
      <c r="BE18">
        <f t="array" ref="BE18">INDEX(DAT!$C$3:$C$26,MATCH(100*MainTour!$A18+RIGHT(BE$1,1),100*DAT!$A$3:$A$26+DAT!$B$3:$B$26,0))</f>
        <v>6</v>
      </c>
      <c r="BF18">
        <f t="array" ref="BF18">INDEX(DAT!$C$3:$C$26,MATCH(100*MainTour!$A18+RIGHT(BF$1,1),100*DAT!$A$3:$A$26+DAT!$B$3:$B$26,0))</f>
        <v>8</v>
      </c>
      <c r="BH18">
        <f t="array" ref="BH18">INDEX(DAT!$C$34:$C$57,MATCH(100*MainTour!$A18+RIGHT(BC$1,1),100*DAT!$A$34:$A$57+DAT!$B$34:$B$57,0))</f>
        <v>5</v>
      </c>
      <c r="BI18">
        <f t="array" ref="BI18">INDEX(DAT!$C$34:$C$57,MATCH(100*MainTour!$A18+RIGHT(BD$1,1),100*DAT!$A$34:$A$57+DAT!$B$34:$B$57,0))</f>
        <v>10</v>
      </c>
      <c r="BJ18">
        <f t="array" ref="BJ18">INDEX(DAT!$C$34:$C$57,MATCH(100*MainTour!$A18+RIGHT(BE$1,1),100*DAT!$A$34:$A$57+DAT!$B$34:$B$57,0))</f>
        <v>15</v>
      </c>
      <c r="BK18">
        <f t="array" ref="BK18">INDEX(DAT!$C$34:$C$57,MATCH(100*MainTour!$A18+RIGHT(BF$1,1),100*DAT!$A$34:$A$57+DAT!$B$34:$B$57,0))</f>
        <v>20</v>
      </c>
      <c r="BM18" t="b">
        <f t="shared" si="14"/>
        <v>1</v>
      </c>
      <c r="BN18" t="b">
        <f t="shared" si="15"/>
        <v>1</v>
      </c>
      <c r="BO18" t="b">
        <f t="shared" si="16"/>
        <v>1</v>
      </c>
      <c r="BP18" t="b">
        <f t="shared" si="17"/>
        <v>1</v>
      </c>
      <c r="BR18">
        <f t="array" ref="BR18">INDEX(DAT!$C$63:$C$86,MATCH(100*MainTour!$A18+RIGHT(BC$1,1),100*DAT!$A$63:$A$86+DAT!$B$63:$B$86,0))</f>
        <v>2</v>
      </c>
      <c r="BS18">
        <f t="array" ref="BS18">INDEX(DAT!$C$63:$C$86,MATCH(100*MainTour!$A18+RIGHT(BD$1,1),100*DAT!$A$63:$A$86+DAT!$B$63:$B$86,0))</f>
        <v>2</v>
      </c>
      <c r="BT18">
        <f t="array" ref="BT18">INDEX(DAT!$C$63:$C$86,MATCH(100*MainTour!$A18+RIGHT(BE$1,1),100*DAT!$A$63:$A$86+DAT!$B$63:$B$86,0))</f>
        <v>2</v>
      </c>
      <c r="BU18">
        <f t="array" ref="BU18">INDEX(DAT!$C$63:$C$86,MATCH(100*MainTour!$A18+RIGHT(BF$1,1),100*DAT!$A$63:$A$86+DAT!$B$63:$B$86,0))</f>
        <v>2</v>
      </c>
      <c r="BW18">
        <f t="array" ref="BW18">INDEX(DAT!$C$92:$C$115,MATCH(100*MainTour!$A18+RIGHT(BC$1,1),100*DAT!$A$92:$A$115+DAT!$B$92:$B$115,0))</f>
        <v>5</v>
      </c>
      <c r="BX18">
        <f t="array" ref="BX18">INDEX(DAT!$C$92:$C$115,MATCH(100*MainTour!$A18+RIGHT(BD$1,1),100*DAT!$A$92:$A$115+DAT!$B$92:$B$115,0))</f>
        <v>5</v>
      </c>
      <c r="BY18">
        <f t="array" ref="BY18">INDEX(DAT!$C$92:$C$115,MATCH(100*MainTour!$A18+RIGHT(BE$1,1),100*DAT!$A$92:$A$115+DAT!$B$92:$B$115,0))</f>
        <v>5</v>
      </c>
      <c r="BZ18">
        <f t="array" ref="BZ18">INDEX(DAT!$C$92:$C$115,MATCH(100*MainTour!$A18+RIGHT(BF$1,1),100*DAT!$A$92:$A$115+DAT!$B$92:$B$115,0))</f>
        <v>5</v>
      </c>
      <c r="CB18" t="b">
        <f t="shared" si="18"/>
        <v>1</v>
      </c>
      <c r="CC18" t="b">
        <f t="shared" si="19"/>
        <v>1</v>
      </c>
      <c r="CD18" t="b">
        <f t="shared" si="20"/>
        <v>1</v>
      </c>
      <c r="CE18" t="b">
        <f t="shared" si="21"/>
        <v>1</v>
      </c>
      <c r="CG18">
        <f t="array" ref="CG18">INDEX(DAT!$C$476:$C$499,MATCH(100*MainTour!$A18+RIGHT(BC$1,1),100*DAT!$A$476:$A$499+DAT!$B$476:$B$499,0))/2</f>
        <v>8</v>
      </c>
      <c r="CH18">
        <f t="array" ref="CH18">INDEX(DAT!$C$476:$C$499,MATCH(100*MainTour!$A18+RIGHT(BD$1,1),100*DAT!$A$476:$A$499+DAT!$B$476:$B$499,0))/2</f>
        <v>16</v>
      </c>
      <c r="CI18">
        <f t="array" ref="CI18">INDEX(DAT!$C$476:$C$499,MATCH(100*MainTour!$A18+RIGHT(BE$1,1),100*DAT!$A$476:$A$499+DAT!$B$476:$B$499,0))/2</f>
        <v>24</v>
      </c>
      <c r="CJ18">
        <f t="array" ref="CJ18">INDEX(DAT!$C$476:$C$499,MATCH(100*MainTour!$A18+RIGHT(BF$1,1),100*DAT!$A$476:$A$499+DAT!$B$476:$B$499,0))/2</f>
        <v>32</v>
      </c>
      <c r="CL18">
        <f t="array" ref="CL18">INDEX(DAT!$C$506:$C$529,MATCH(100*MainTour!$A18+RIGHT(BC$1,1),100*DAT!$A$506:$A$529+DAT!$B$506:$B$529,0))/2</f>
        <v>32</v>
      </c>
      <c r="CM18">
        <f t="array" ref="CM18">INDEX(DAT!$C$506:$C$529,MATCH(100*MainTour!$A18+RIGHT(BD$1,1),100*DAT!$A$506:$A$529+DAT!$B$506:$B$529,0))/2</f>
        <v>64</v>
      </c>
      <c r="CN18">
        <f t="array" ref="CN18">INDEX(DAT!$C$506:$C$529,MATCH(100*MainTour!$A18+RIGHT(BE$1,1),100*DAT!$A$506:$A$529+DAT!$B$506:$B$529,0))/2</f>
        <v>96</v>
      </c>
      <c r="CO18">
        <f t="array" ref="CO18">INDEX(DAT!$C$506:$C$529,MATCH(100*MainTour!$A18+RIGHT(BF$1,1),100*DAT!$A$506:$A$529+DAT!$B$506:$B$529,0))/2</f>
        <v>128</v>
      </c>
      <c r="CQ18" t="b">
        <f t="shared" si="22"/>
        <v>1</v>
      </c>
      <c r="CR18" t="b">
        <f t="shared" si="23"/>
        <v>1</v>
      </c>
      <c r="CS18" t="b">
        <f t="shared" si="24"/>
        <v>1</v>
      </c>
      <c r="CT18" t="b">
        <f t="shared" si="25"/>
        <v>1</v>
      </c>
      <c r="CV18">
        <f t="array" ref="CV18">INDEX(DAT!$C$544:$C$567,MATCH(100*MainTour!$A18+RIGHT(BC$1,1),100*DAT!$A$544:$A$567+DAT!$B$544:$B$567,0))/2</f>
        <v>8</v>
      </c>
      <c r="CW18">
        <f t="array" ref="CW18">INDEX(DAT!$C$544:$C$567,MATCH(100*MainTour!$A18+RIGHT(BD$1,1),100*DAT!$A$544:$A$567+DAT!$B$544:$B$567,0))/2</f>
        <v>8</v>
      </c>
      <c r="CX18">
        <f t="array" ref="CX18">INDEX(DAT!$C$544:$C$567,MATCH(100*MainTour!$A18+RIGHT(BE$1,1),100*DAT!$A$544:$A$567+DAT!$B$544:$B$567,0))/2</f>
        <v>8</v>
      </c>
      <c r="CY18">
        <f t="array" ref="CY18">INDEX(DAT!$C$544:$C$567,MATCH(100*MainTour!$A18+RIGHT(BF$1,1),100*DAT!$A$544:$A$567+DAT!$B$544:$B$567,0))/2</f>
        <v>8</v>
      </c>
      <c r="DA18">
        <f t="array" ref="DA18">INDEX(DAT!$C$573:$C$596,MATCH(100*MainTour!$A18+RIGHT(BC$1,1),100*DAT!$A$573:$A$596+DAT!$B$573:$B$596,0))/2</f>
        <v>32</v>
      </c>
      <c r="DB18">
        <f t="array" ref="DB18">INDEX(DAT!$C$573:$C$596,MATCH(100*MainTour!$A18+RIGHT(BD$1,1),100*DAT!$A$573:$A$596+DAT!$B$573:$B$596,0))/2</f>
        <v>32</v>
      </c>
      <c r="DC18">
        <f t="array" ref="DC18">INDEX(DAT!$C$573:$C$596,MATCH(100*MainTour!$A18+RIGHT(BE$1,1),100*DAT!$A$573:$A$596+DAT!$B$573:$B$596,0))/2</f>
        <v>32</v>
      </c>
      <c r="DD18">
        <f t="array" ref="DD18">INDEX(DAT!$C$573:$C$596,MATCH(100*MainTour!$A18+RIGHT(BF$1,1),100*DAT!$A$573:$A$596+DAT!$B$573:$B$596,0))/2</f>
        <v>32</v>
      </c>
      <c r="DF18" t="b">
        <f t="shared" si="26"/>
        <v>1</v>
      </c>
      <c r="DG18" t="b">
        <f t="shared" si="27"/>
        <v>1</v>
      </c>
      <c r="DH18" t="b">
        <f t="shared" si="28"/>
        <v>1</v>
      </c>
      <c r="DI18" t="b">
        <f t="shared" si="29"/>
        <v>1</v>
      </c>
    </row>
    <row r="19" spans="1:113" x14ac:dyDescent="0.25">
      <c r="A19" s="2">
        <v>1</v>
      </c>
      <c r="B19" s="5" t="s">
        <v>1</v>
      </c>
      <c r="C19" s="2" t="s">
        <v>5</v>
      </c>
      <c r="D19" s="2" t="s">
        <v>60</v>
      </c>
      <c r="E19" s="2" t="s">
        <v>5</v>
      </c>
      <c r="F19" s="2" t="s">
        <v>5</v>
      </c>
      <c r="G19" s="2" t="s">
        <v>5</v>
      </c>
      <c r="H19" s="5" t="s">
        <v>59</v>
      </c>
      <c r="I19" s="5" t="s">
        <v>59</v>
      </c>
      <c r="J19" s="2" t="s">
        <v>5</v>
      </c>
      <c r="K19" s="2" t="s">
        <v>60</v>
      </c>
      <c r="L19" s="2" t="s">
        <v>5</v>
      </c>
      <c r="M19" s="2" t="s">
        <v>5</v>
      </c>
      <c r="N19" s="2" t="s">
        <v>5</v>
      </c>
      <c r="O19" s="5" t="s">
        <v>5</v>
      </c>
      <c r="P19" s="5" t="s">
        <v>5</v>
      </c>
      <c r="Q19" s="2" t="s">
        <v>5</v>
      </c>
      <c r="R19" s="2" t="s">
        <v>5</v>
      </c>
      <c r="S19" s="2" t="s">
        <v>5</v>
      </c>
      <c r="T19" s="2" t="s">
        <v>5</v>
      </c>
      <c r="U19" s="2" t="s">
        <v>59</v>
      </c>
      <c r="V19" s="5" t="s">
        <v>59</v>
      </c>
      <c r="W19" s="5" t="s">
        <v>59</v>
      </c>
      <c r="X19" s="2" t="s">
        <v>5</v>
      </c>
      <c r="Y19" s="2" t="s">
        <v>5</v>
      </c>
      <c r="Z19" s="2" t="s">
        <v>59</v>
      </c>
      <c r="AA19" s="2" t="s">
        <v>5</v>
      </c>
      <c r="AB19" s="2" t="s">
        <v>5</v>
      </c>
      <c r="AC19" s="5" t="s">
        <v>5</v>
      </c>
      <c r="AE19">
        <f t="shared" si="2"/>
        <v>3</v>
      </c>
      <c r="AF19">
        <f t="shared" si="3"/>
        <v>8</v>
      </c>
      <c r="AG19">
        <f t="shared" si="4"/>
        <v>2</v>
      </c>
      <c r="AH19">
        <f t="shared" si="5"/>
        <v>2</v>
      </c>
      <c r="AI19">
        <f t="shared" si="6"/>
        <v>2</v>
      </c>
      <c r="AJ19">
        <f t="shared" si="7"/>
        <v>2</v>
      </c>
      <c r="AK19">
        <f t="shared" si="8"/>
        <v>56</v>
      </c>
      <c r="AL19">
        <f t="shared" si="9"/>
        <v>12</v>
      </c>
      <c r="AM19">
        <f t="shared" si="10"/>
        <v>12</v>
      </c>
      <c r="AN19">
        <f t="shared" si="11"/>
        <v>16</v>
      </c>
      <c r="AO19">
        <f t="shared" si="12"/>
        <v>16</v>
      </c>
      <c r="AQ19">
        <f t="shared" si="13"/>
        <v>4</v>
      </c>
      <c r="AS19">
        <f>SUM($AG19:AG19)</f>
        <v>2</v>
      </c>
      <c r="AT19">
        <f>SUM($AG19:AH19)</f>
        <v>4</v>
      </c>
      <c r="AU19">
        <f>SUM($AG19:AI19)</f>
        <v>6</v>
      </c>
      <c r="AV19">
        <f>SUM($AG19:AJ19)</f>
        <v>8</v>
      </c>
      <c r="AX19">
        <f>SUM($AL19:AL19)</f>
        <v>12</v>
      </c>
      <c r="AY19">
        <f>SUM($AL19:AM19)</f>
        <v>24</v>
      </c>
      <c r="AZ19">
        <f>SUM($AL19:AN19)</f>
        <v>40</v>
      </c>
      <c r="BA19">
        <f>SUM($AL19:AO19)</f>
        <v>56</v>
      </c>
      <c r="BC19">
        <f t="array" ref="BC19">INDEX(DAT!$C$3:$C$26,MATCH(100*MainTour!$A19+RIGHT(BC$1,1),100*DAT!$A$3:$A$26+DAT!$B$3:$B$26,0))</f>
        <v>2</v>
      </c>
      <c r="BD19">
        <f t="array" ref="BD19">INDEX(DAT!$C$3:$C$26,MATCH(100*MainTour!$A19+RIGHT(BD$1,1),100*DAT!$A$3:$A$26+DAT!$B$3:$B$26,0))</f>
        <v>4</v>
      </c>
      <c r="BE19">
        <f t="array" ref="BE19">INDEX(DAT!$C$3:$C$26,MATCH(100*MainTour!$A19+RIGHT(BE$1,1),100*DAT!$A$3:$A$26+DAT!$B$3:$B$26,0))</f>
        <v>6</v>
      </c>
      <c r="BF19">
        <f t="array" ref="BF19">INDEX(DAT!$C$3:$C$26,MATCH(100*MainTour!$A19+RIGHT(BF$1,1),100*DAT!$A$3:$A$26+DAT!$B$3:$B$26,0))</f>
        <v>8</v>
      </c>
      <c r="BH19">
        <f t="array" ref="BH19">INDEX(DAT!$C$34:$C$57,MATCH(100*MainTour!$A19+RIGHT(BC$1,1),100*DAT!$A$34:$A$57+DAT!$B$34:$B$57,0))</f>
        <v>5</v>
      </c>
      <c r="BI19">
        <f t="array" ref="BI19">INDEX(DAT!$C$34:$C$57,MATCH(100*MainTour!$A19+RIGHT(BD$1,1),100*DAT!$A$34:$A$57+DAT!$B$34:$B$57,0))</f>
        <v>10</v>
      </c>
      <c r="BJ19">
        <f t="array" ref="BJ19">INDEX(DAT!$C$34:$C$57,MATCH(100*MainTour!$A19+RIGHT(BE$1,1),100*DAT!$A$34:$A$57+DAT!$B$34:$B$57,0))</f>
        <v>15</v>
      </c>
      <c r="BK19">
        <f t="array" ref="BK19">INDEX(DAT!$C$34:$C$57,MATCH(100*MainTour!$A19+RIGHT(BF$1,1),100*DAT!$A$34:$A$57+DAT!$B$34:$B$57,0))</f>
        <v>20</v>
      </c>
      <c r="BM19" t="b">
        <f t="shared" si="14"/>
        <v>1</v>
      </c>
      <c r="BN19" t="b">
        <f t="shared" si="15"/>
        <v>1</v>
      </c>
      <c r="BO19" t="b">
        <f t="shared" si="16"/>
        <v>1</v>
      </c>
      <c r="BP19" t="b">
        <f t="shared" si="17"/>
        <v>1</v>
      </c>
      <c r="BR19">
        <f t="array" ref="BR19">INDEX(DAT!$C$63:$C$86,MATCH(100*MainTour!$A19+RIGHT(BC$1,1),100*DAT!$A$63:$A$86+DAT!$B$63:$B$86,0))</f>
        <v>2</v>
      </c>
      <c r="BS19">
        <f t="array" ref="BS19">INDEX(DAT!$C$63:$C$86,MATCH(100*MainTour!$A19+RIGHT(BD$1,1),100*DAT!$A$63:$A$86+DAT!$B$63:$B$86,0))</f>
        <v>2</v>
      </c>
      <c r="BT19">
        <f t="array" ref="BT19">INDEX(DAT!$C$63:$C$86,MATCH(100*MainTour!$A19+RIGHT(BE$1,1),100*DAT!$A$63:$A$86+DAT!$B$63:$B$86,0))</f>
        <v>2</v>
      </c>
      <c r="BU19">
        <f t="array" ref="BU19">INDEX(DAT!$C$63:$C$86,MATCH(100*MainTour!$A19+RIGHT(BF$1,1),100*DAT!$A$63:$A$86+DAT!$B$63:$B$86,0))</f>
        <v>2</v>
      </c>
      <c r="BW19">
        <f t="array" ref="BW19">INDEX(DAT!$C$92:$C$115,MATCH(100*MainTour!$A19+RIGHT(BC$1,1),100*DAT!$A$92:$A$115+DAT!$B$92:$B$115,0))</f>
        <v>5</v>
      </c>
      <c r="BX19">
        <f t="array" ref="BX19">INDEX(DAT!$C$92:$C$115,MATCH(100*MainTour!$A19+RIGHT(BD$1,1),100*DAT!$A$92:$A$115+DAT!$B$92:$B$115,0))</f>
        <v>5</v>
      </c>
      <c r="BY19">
        <f t="array" ref="BY19">INDEX(DAT!$C$92:$C$115,MATCH(100*MainTour!$A19+RIGHT(BE$1,1),100*DAT!$A$92:$A$115+DAT!$B$92:$B$115,0))</f>
        <v>5</v>
      </c>
      <c r="BZ19">
        <f t="array" ref="BZ19">INDEX(DAT!$C$92:$C$115,MATCH(100*MainTour!$A19+RIGHT(BF$1,1),100*DAT!$A$92:$A$115+DAT!$B$92:$B$115,0))</f>
        <v>5</v>
      </c>
      <c r="CB19" t="b">
        <f t="shared" si="18"/>
        <v>1</v>
      </c>
      <c r="CC19" t="b">
        <f t="shared" si="19"/>
        <v>1</v>
      </c>
      <c r="CD19" t="b">
        <f t="shared" si="20"/>
        <v>1</v>
      </c>
      <c r="CE19" t="b">
        <f t="shared" si="21"/>
        <v>1</v>
      </c>
      <c r="CG19">
        <f t="array" ref="CG19">INDEX(DAT!$C$476:$C$499,MATCH(100*MainTour!$A19+RIGHT(BC$1,1),100*DAT!$A$476:$A$499+DAT!$B$476:$B$499,0))/2</f>
        <v>8</v>
      </c>
      <c r="CH19">
        <f t="array" ref="CH19">INDEX(DAT!$C$476:$C$499,MATCH(100*MainTour!$A19+RIGHT(BD$1,1),100*DAT!$A$476:$A$499+DAT!$B$476:$B$499,0))/2</f>
        <v>16</v>
      </c>
      <c r="CI19">
        <f t="array" ref="CI19">INDEX(DAT!$C$476:$C$499,MATCH(100*MainTour!$A19+RIGHT(BE$1,1),100*DAT!$A$476:$A$499+DAT!$B$476:$B$499,0))/2</f>
        <v>24</v>
      </c>
      <c r="CJ19">
        <f t="array" ref="CJ19">INDEX(DAT!$C$476:$C$499,MATCH(100*MainTour!$A19+RIGHT(BF$1,1),100*DAT!$A$476:$A$499+DAT!$B$476:$B$499,0))/2</f>
        <v>32</v>
      </c>
      <c r="CL19">
        <f t="array" ref="CL19">INDEX(DAT!$C$506:$C$529,MATCH(100*MainTour!$A19+RIGHT(BC$1,1),100*DAT!$A$506:$A$529+DAT!$B$506:$B$529,0))/2</f>
        <v>32</v>
      </c>
      <c r="CM19">
        <f t="array" ref="CM19">INDEX(DAT!$C$506:$C$529,MATCH(100*MainTour!$A19+RIGHT(BD$1,1),100*DAT!$A$506:$A$529+DAT!$B$506:$B$529,0))/2</f>
        <v>64</v>
      </c>
      <c r="CN19">
        <f t="array" ref="CN19">INDEX(DAT!$C$506:$C$529,MATCH(100*MainTour!$A19+RIGHT(BE$1,1),100*DAT!$A$506:$A$529+DAT!$B$506:$B$529,0))/2</f>
        <v>96</v>
      </c>
      <c r="CO19">
        <f t="array" ref="CO19">INDEX(DAT!$C$506:$C$529,MATCH(100*MainTour!$A19+RIGHT(BF$1,1),100*DAT!$A$506:$A$529+DAT!$B$506:$B$529,0))/2</f>
        <v>128</v>
      </c>
      <c r="CQ19" t="b">
        <f t="shared" si="22"/>
        <v>1</v>
      </c>
      <c r="CR19" t="b">
        <f t="shared" si="23"/>
        <v>1</v>
      </c>
      <c r="CS19" t="b">
        <f t="shared" si="24"/>
        <v>1</v>
      </c>
      <c r="CT19" t="b">
        <f t="shared" si="25"/>
        <v>1</v>
      </c>
      <c r="CV19">
        <f t="array" ref="CV19">INDEX(DAT!$C$544:$C$567,MATCH(100*MainTour!$A19+RIGHT(BC$1,1),100*DAT!$A$544:$A$567+DAT!$B$544:$B$567,0))/2</f>
        <v>8</v>
      </c>
      <c r="CW19">
        <f t="array" ref="CW19">INDEX(DAT!$C$544:$C$567,MATCH(100*MainTour!$A19+RIGHT(BD$1,1),100*DAT!$A$544:$A$567+DAT!$B$544:$B$567,0))/2</f>
        <v>8</v>
      </c>
      <c r="CX19">
        <f t="array" ref="CX19">INDEX(DAT!$C$544:$C$567,MATCH(100*MainTour!$A19+RIGHT(BE$1,1),100*DAT!$A$544:$A$567+DAT!$B$544:$B$567,0))/2</f>
        <v>8</v>
      </c>
      <c r="CY19">
        <f t="array" ref="CY19">INDEX(DAT!$C$544:$C$567,MATCH(100*MainTour!$A19+RIGHT(BF$1,1),100*DAT!$A$544:$A$567+DAT!$B$544:$B$567,0))/2</f>
        <v>8</v>
      </c>
      <c r="DA19">
        <f t="array" ref="DA19">INDEX(DAT!$C$573:$C$596,MATCH(100*MainTour!$A19+RIGHT(BC$1,1),100*DAT!$A$573:$A$596+DAT!$B$573:$B$596,0))/2</f>
        <v>32</v>
      </c>
      <c r="DB19">
        <f t="array" ref="DB19">INDEX(DAT!$C$573:$C$596,MATCH(100*MainTour!$A19+RIGHT(BD$1,1),100*DAT!$A$573:$A$596+DAT!$B$573:$B$596,0))/2</f>
        <v>32</v>
      </c>
      <c r="DC19">
        <f t="array" ref="DC19">INDEX(DAT!$C$573:$C$596,MATCH(100*MainTour!$A19+RIGHT(BE$1,1),100*DAT!$A$573:$A$596+DAT!$B$573:$B$596,0))/2</f>
        <v>32</v>
      </c>
      <c r="DD19">
        <f t="array" ref="DD19">INDEX(DAT!$C$573:$C$596,MATCH(100*MainTour!$A19+RIGHT(BF$1,1),100*DAT!$A$573:$A$596+DAT!$B$573:$B$596,0))/2</f>
        <v>32</v>
      </c>
      <c r="DF19" t="b">
        <f t="shared" si="26"/>
        <v>1</v>
      </c>
      <c r="DG19" t="b">
        <f t="shared" si="27"/>
        <v>1</v>
      </c>
      <c r="DH19" t="b">
        <f t="shared" si="28"/>
        <v>1</v>
      </c>
      <c r="DI19" t="b">
        <f t="shared" si="29"/>
        <v>1</v>
      </c>
    </row>
    <row r="20" spans="1:113" x14ac:dyDescent="0.25">
      <c r="A20" s="2">
        <v>1</v>
      </c>
      <c r="B20" s="5" t="s">
        <v>44</v>
      </c>
      <c r="C20" s="2" t="s">
        <v>60</v>
      </c>
      <c r="D20" s="2" t="s">
        <v>5</v>
      </c>
      <c r="E20" s="2" t="s">
        <v>5</v>
      </c>
      <c r="F20" s="2" t="s">
        <v>60</v>
      </c>
      <c r="G20" s="2" t="s">
        <v>5</v>
      </c>
      <c r="H20" s="5" t="s">
        <v>5</v>
      </c>
      <c r="I20" s="5" t="s">
        <v>5</v>
      </c>
      <c r="J20" s="2" t="s">
        <v>5</v>
      </c>
      <c r="K20" s="2" t="s">
        <v>5</v>
      </c>
      <c r="L20" s="2" t="s">
        <v>5</v>
      </c>
      <c r="M20" s="2" t="s">
        <v>60</v>
      </c>
      <c r="N20" s="2" t="s">
        <v>5</v>
      </c>
      <c r="O20" s="5" t="s">
        <v>59</v>
      </c>
      <c r="P20" s="5" t="s">
        <v>59</v>
      </c>
      <c r="Q20" s="2" t="s">
        <v>60</v>
      </c>
      <c r="R20" s="2" t="s">
        <v>5</v>
      </c>
      <c r="S20" s="2" t="s">
        <v>5</v>
      </c>
      <c r="T20" s="2" t="s">
        <v>5</v>
      </c>
      <c r="U20" s="2" t="s">
        <v>60</v>
      </c>
      <c r="V20" s="5" t="s">
        <v>5</v>
      </c>
      <c r="W20" s="5" t="s">
        <v>5</v>
      </c>
      <c r="X20" s="2" t="s">
        <v>5</v>
      </c>
      <c r="Y20" s="2" t="s">
        <v>5</v>
      </c>
      <c r="Z20" s="2" t="s">
        <v>59</v>
      </c>
      <c r="AA20" s="2" t="s">
        <v>5</v>
      </c>
      <c r="AB20" s="2" t="s">
        <v>5</v>
      </c>
      <c r="AC20" s="5" t="s">
        <v>59</v>
      </c>
      <c r="AE20">
        <f t="shared" si="2"/>
        <v>3</v>
      </c>
      <c r="AF20">
        <f t="shared" si="3"/>
        <v>10</v>
      </c>
      <c r="AG20">
        <f t="shared" si="4"/>
        <v>3</v>
      </c>
      <c r="AH20">
        <f t="shared" si="5"/>
        <v>2</v>
      </c>
      <c r="AI20">
        <f t="shared" si="6"/>
        <v>3</v>
      </c>
      <c r="AJ20">
        <f t="shared" si="7"/>
        <v>2</v>
      </c>
      <c r="AK20">
        <f t="shared" si="8"/>
        <v>60</v>
      </c>
      <c r="AL20">
        <f t="shared" si="9"/>
        <v>16</v>
      </c>
      <c r="AM20">
        <f t="shared" si="10"/>
        <v>12</v>
      </c>
      <c r="AN20">
        <f t="shared" si="11"/>
        <v>16</v>
      </c>
      <c r="AO20">
        <f t="shared" si="12"/>
        <v>16</v>
      </c>
      <c r="AQ20">
        <f t="shared" si="13"/>
        <v>4</v>
      </c>
      <c r="AS20">
        <f>SUM($AG20:AG20)</f>
        <v>3</v>
      </c>
      <c r="AT20">
        <f>SUM($AG20:AH20)</f>
        <v>5</v>
      </c>
      <c r="AU20">
        <f>SUM($AG20:AI20)</f>
        <v>8</v>
      </c>
      <c r="AV20">
        <f>SUM($AG20:AJ20)</f>
        <v>10</v>
      </c>
      <c r="AX20">
        <f>SUM($AL20:AL20)</f>
        <v>16</v>
      </c>
      <c r="AY20">
        <f>SUM($AL20:AM20)</f>
        <v>28</v>
      </c>
      <c r="AZ20">
        <f>SUM($AL20:AN20)</f>
        <v>44</v>
      </c>
      <c r="BA20">
        <f>SUM($AL20:AO20)</f>
        <v>60</v>
      </c>
      <c r="BC20">
        <f t="array" ref="BC20">INDEX(DAT!$C$3:$C$26,MATCH(100*MainTour!$A20+RIGHT(BC$1,1),100*DAT!$A$3:$A$26+DAT!$B$3:$B$26,0))</f>
        <v>2</v>
      </c>
      <c r="BD20">
        <f t="array" ref="BD20">INDEX(DAT!$C$3:$C$26,MATCH(100*MainTour!$A20+RIGHT(BD$1,1),100*DAT!$A$3:$A$26+DAT!$B$3:$B$26,0))</f>
        <v>4</v>
      </c>
      <c r="BE20">
        <f t="array" ref="BE20">INDEX(DAT!$C$3:$C$26,MATCH(100*MainTour!$A20+RIGHT(BE$1,1),100*DAT!$A$3:$A$26+DAT!$B$3:$B$26,0))</f>
        <v>6</v>
      </c>
      <c r="BF20">
        <f t="array" ref="BF20">INDEX(DAT!$C$3:$C$26,MATCH(100*MainTour!$A20+RIGHT(BF$1,1),100*DAT!$A$3:$A$26+DAT!$B$3:$B$26,0))</f>
        <v>8</v>
      </c>
      <c r="BH20">
        <f t="array" ref="BH20">INDEX(DAT!$C$34:$C$57,MATCH(100*MainTour!$A20+RIGHT(BC$1,1),100*DAT!$A$34:$A$57+DAT!$B$34:$B$57,0))</f>
        <v>5</v>
      </c>
      <c r="BI20">
        <f t="array" ref="BI20">INDEX(DAT!$C$34:$C$57,MATCH(100*MainTour!$A20+RIGHT(BD$1,1),100*DAT!$A$34:$A$57+DAT!$B$34:$B$57,0))</f>
        <v>10</v>
      </c>
      <c r="BJ20">
        <f t="array" ref="BJ20">INDEX(DAT!$C$34:$C$57,MATCH(100*MainTour!$A20+RIGHT(BE$1,1),100*DAT!$A$34:$A$57+DAT!$B$34:$B$57,0))</f>
        <v>15</v>
      </c>
      <c r="BK20">
        <f t="array" ref="BK20">INDEX(DAT!$C$34:$C$57,MATCH(100*MainTour!$A20+RIGHT(BF$1,1),100*DAT!$A$34:$A$57+DAT!$B$34:$B$57,0))</f>
        <v>20</v>
      </c>
      <c r="BM20" t="b">
        <f t="shared" si="14"/>
        <v>1</v>
      </c>
      <c r="BN20" t="b">
        <f t="shared" si="15"/>
        <v>1</v>
      </c>
      <c r="BO20" t="b">
        <f t="shared" si="16"/>
        <v>1</v>
      </c>
      <c r="BP20" t="b">
        <f t="shared" si="17"/>
        <v>1</v>
      </c>
      <c r="BR20">
        <f t="array" ref="BR20">INDEX(DAT!$C$63:$C$86,MATCH(100*MainTour!$A20+RIGHT(BC$1,1),100*DAT!$A$63:$A$86+DAT!$B$63:$B$86,0))</f>
        <v>2</v>
      </c>
      <c r="BS20">
        <f t="array" ref="BS20">INDEX(DAT!$C$63:$C$86,MATCH(100*MainTour!$A20+RIGHT(BD$1,1),100*DAT!$A$63:$A$86+DAT!$B$63:$B$86,0))</f>
        <v>2</v>
      </c>
      <c r="BT20">
        <f t="array" ref="BT20">INDEX(DAT!$C$63:$C$86,MATCH(100*MainTour!$A20+RIGHT(BE$1,1),100*DAT!$A$63:$A$86+DAT!$B$63:$B$86,0))</f>
        <v>2</v>
      </c>
      <c r="BU20">
        <f t="array" ref="BU20">INDEX(DAT!$C$63:$C$86,MATCH(100*MainTour!$A20+RIGHT(BF$1,1),100*DAT!$A$63:$A$86+DAT!$B$63:$B$86,0))</f>
        <v>2</v>
      </c>
      <c r="BW20">
        <f t="array" ref="BW20">INDEX(DAT!$C$92:$C$115,MATCH(100*MainTour!$A20+RIGHT(BC$1,1),100*DAT!$A$92:$A$115+DAT!$B$92:$B$115,0))</f>
        <v>5</v>
      </c>
      <c r="BX20">
        <f t="array" ref="BX20">INDEX(DAT!$C$92:$C$115,MATCH(100*MainTour!$A20+RIGHT(BD$1,1),100*DAT!$A$92:$A$115+DAT!$B$92:$B$115,0))</f>
        <v>5</v>
      </c>
      <c r="BY20">
        <f t="array" ref="BY20">INDEX(DAT!$C$92:$C$115,MATCH(100*MainTour!$A20+RIGHT(BE$1,1),100*DAT!$A$92:$A$115+DAT!$B$92:$B$115,0))</f>
        <v>5</v>
      </c>
      <c r="BZ20">
        <f t="array" ref="BZ20">INDEX(DAT!$C$92:$C$115,MATCH(100*MainTour!$A20+RIGHT(BF$1,1),100*DAT!$A$92:$A$115+DAT!$B$92:$B$115,0))</f>
        <v>5</v>
      </c>
      <c r="CB20" t="b">
        <f t="shared" si="18"/>
        <v>1</v>
      </c>
      <c r="CC20" t="b">
        <f t="shared" si="19"/>
        <v>1</v>
      </c>
      <c r="CD20" t="b">
        <f t="shared" si="20"/>
        <v>1</v>
      </c>
      <c r="CE20" t="b">
        <f t="shared" si="21"/>
        <v>1</v>
      </c>
      <c r="CG20">
        <f t="array" ref="CG20">INDEX(DAT!$C$476:$C$499,MATCH(100*MainTour!$A20+RIGHT(BC$1,1),100*DAT!$A$476:$A$499+DAT!$B$476:$B$499,0))/2</f>
        <v>8</v>
      </c>
      <c r="CH20">
        <f t="array" ref="CH20">INDEX(DAT!$C$476:$C$499,MATCH(100*MainTour!$A20+RIGHT(BD$1,1),100*DAT!$A$476:$A$499+DAT!$B$476:$B$499,0))/2</f>
        <v>16</v>
      </c>
      <c r="CI20">
        <f t="array" ref="CI20">INDEX(DAT!$C$476:$C$499,MATCH(100*MainTour!$A20+RIGHT(BE$1,1),100*DAT!$A$476:$A$499+DAT!$B$476:$B$499,0))/2</f>
        <v>24</v>
      </c>
      <c r="CJ20">
        <f t="array" ref="CJ20">INDEX(DAT!$C$476:$C$499,MATCH(100*MainTour!$A20+RIGHT(BF$1,1),100*DAT!$A$476:$A$499+DAT!$B$476:$B$499,0))/2</f>
        <v>32</v>
      </c>
      <c r="CL20">
        <f t="array" ref="CL20">INDEX(DAT!$C$506:$C$529,MATCH(100*MainTour!$A20+RIGHT(BC$1,1),100*DAT!$A$506:$A$529+DAT!$B$506:$B$529,0))/2</f>
        <v>32</v>
      </c>
      <c r="CM20">
        <f t="array" ref="CM20">INDEX(DAT!$C$506:$C$529,MATCH(100*MainTour!$A20+RIGHT(BD$1,1),100*DAT!$A$506:$A$529+DAT!$B$506:$B$529,0))/2</f>
        <v>64</v>
      </c>
      <c r="CN20">
        <f t="array" ref="CN20">INDEX(DAT!$C$506:$C$529,MATCH(100*MainTour!$A20+RIGHT(BE$1,1),100*DAT!$A$506:$A$529+DAT!$B$506:$B$529,0))/2</f>
        <v>96</v>
      </c>
      <c r="CO20">
        <f t="array" ref="CO20">INDEX(DAT!$C$506:$C$529,MATCH(100*MainTour!$A20+RIGHT(BF$1,1),100*DAT!$A$506:$A$529+DAT!$B$506:$B$529,0))/2</f>
        <v>128</v>
      </c>
      <c r="CQ20" t="b">
        <f t="shared" si="22"/>
        <v>1</v>
      </c>
      <c r="CR20" t="b">
        <f t="shared" si="23"/>
        <v>1</v>
      </c>
      <c r="CS20" t="b">
        <f t="shared" si="24"/>
        <v>1</v>
      </c>
      <c r="CT20" t="b">
        <f t="shared" si="25"/>
        <v>1</v>
      </c>
      <c r="CV20">
        <f t="array" ref="CV20">INDEX(DAT!$C$544:$C$567,MATCH(100*MainTour!$A20+RIGHT(BC$1,1),100*DAT!$A$544:$A$567+DAT!$B$544:$B$567,0))/2</f>
        <v>8</v>
      </c>
      <c r="CW20">
        <f t="array" ref="CW20">INDEX(DAT!$C$544:$C$567,MATCH(100*MainTour!$A20+RIGHT(BD$1,1),100*DAT!$A$544:$A$567+DAT!$B$544:$B$567,0))/2</f>
        <v>8</v>
      </c>
      <c r="CX20">
        <f t="array" ref="CX20">INDEX(DAT!$C$544:$C$567,MATCH(100*MainTour!$A20+RIGHT(BE$1,1),100*DAT!$A$544:$A$567+DAT!$B$544:$B$567,0))/2</f>
        <v>8</v>
      </c>
      <c r="CY20">
        <f t="array" ref="CY20">INDEX(DAT!$C$544:$C$567,MATCH(100*MainTour!$A20+RIGHT(BF$1,1),100*DAT!$A$544:$A$567+DAT!$B$544:$B$567,0))/2</f>
        <v>8</v>
      </c>
      <c r="DA20">
        <f t="array" ref="DA20">INDEX(DAT!$C$573:$C$596,MATCH(100*MainTour!$A20+RIGHT(BC$1,1),100*DAT!$A$573:$A$596+DAT!$B$573:$B$596,0))/2</f>
        <v>32</v>
      </c>
      <c r="DB20">
        <f t="array" ref="DB20">INDEX(DAT!$C$573:$C$596,MATCH(100*MainTour!$A20+RIGHT(BD$1,1),100*DAT!$A$573:$A$596+DAT!$B$573:$B$596,0))/2</f>
        <v>32</v>
      </c>
      <c r="DC20">
        <f t="array" ref="DC20">INDEX(DAT!$C$573:$C$596,MATCH(100*MainTour!$A20+RIGHT(BE$1,1),100*DAT!$A$573:$A$596+DAT!$B$573:$B$596,0))/2</f>
        <v>32</v>
      </c>
      <c r="DD20">
        <f t="array" ref="DD20">INDEX(DAT!$C$573:$C$596,MATCH(100*MainTour!$A20+RIGHT(BF$1,1),100*DAT!$A$573:$A$596+DAT!$B$573:$B$596,0))/2</f>
        <v>32</v>
      </c>
      <c r="DF20" t="b">
        <f t="shared" si="26"/>
        <v>1</v>
      </c>
      <c r="DG20" t="b">
        <f t="shared" si="27"/>
        <v>1</v>
      </c>
      <c r="DH20" t="b">
        <f t="shared" si="28"/>
        <v>1</v>
      </c>
      <c r="DI20" t="b">
        <f t="shared" si="29"/>
        <v>1</v>
      </c>
    </row>
    <row r="21" spans="1:113" x14ac:dyDescent="0.25">
      <c r="A21" s="2">
        <v>1</v>
      </c>
      <c r="B21" s="5" t="s">
        <v>1</v>
      </c>
      <c r="C21" s="2" t="s">
        <v>5</v>
      </c>
      <c r="D21" s="2" t="s">
        <v>5</v>
      </c>
      <c r="E21" s="2" t="s">
        <v>61</v>
      </c>
      <c r="F21" s="2" t="s">
        <v>5</v>
      </c>
      <c r="G21" s="2" t="s">
        <v>61</v>
      </c>
      <c r="H21" s="5" t="s">
        <v>5</v>
      </c>
      <c r="I21" s="5" t="s">
        <v>5</v>
      </c>
      <c r="J21" s="2" t="s">
        <v>5</v>
      </c>
      <c r="K21" s="2" t="s">
        <v>61</v>
      </c>
      <c r="L21" s="2" t="s">
        <v>61</v>
      </c>
      <c r="M21" s="2" t="s">
        <v>5</v>
      </c>
      <c r="N21" s="2" t="s">
        <v>5</v>
      </c>
      <c r="O21" s="5" t="s">
        <v>5</v>
      </c>
      <c r="P21" s="5" t="s">
        <v>5</v>
      </c>
      <c r="Q21" s="2" t="s">
        <v>5</v>
      </c>
      <c r="R21" s="2" t="s">
        <v>5</v>
      </c>
      <c r="S21" s="2" t="s">
        <v>61</v>
      </c>
      <c r="T21" s="2" t="s">
        <v>5</v>
      </c>
      <c r="U21" s="2" t="s">
        <v>62</v>
      </c>
      <c r="V21" s="5" t="s">
        <v>5</v>
      </c>
      <c r="W21" s="5" t="s">
        <v>5</v>
      </c>
      <c r="X21" s="2" t="s">
        <v>61</v>
      </c>
      <c r="Y21" s="2" t="s">
        <v>5</v>
      </c>
      <c r="Z21" s="2" t="s">
        <v>5</v>
      </c>
      <c r="AA21" s="2" t="s">
        <v>5</v>
      </c>
      <c r="AB21" s="2" t="s">
        <v>61</v>
      </c>
      <c r="AC21" s="5" t="s">
        <v>5</v>
      </c>
      <c r="AE21">
        <f t="shared" si="2"/>
        <v>2</v>
      </c>
      <c r="AF21">
        <f t="shared" si="3"/>
        <v>8</v>
      </c>
      <c r="AG21">
        <f t="shared" si="4"/>
        <v>2</v>
      </c>
      <c r="AH21">
        <f t="shared" si="5"/>
        <v>2</v>
      </c>
      <c r="AI21">
        <f t="shared" si="6"/>
        <v>2</v>
      </c>
      <c r="AJ21">
        <f t="shared" si="7"/>
        <v>2</v>
      </c>
      <c r="AK21">
        <f t="shared" si="8"/>
        <v>36</v>
      </c>
      <c r="AL21">
        <f t="shared" si="9"/>
        <v>8</v>
      </c>
      <c r="AM21">
        <f t="shared" si="10"/>
        <v>8</v>
      </c>
      <c r="AN21">
        <f t="shared" si="11"/>
        <v>12</v>
      </c>
      <c r="AO21">
        <f t="shared" si="12"/>
        <v>8</v>
      </c>
      <c r="AQ21">
        <f t="shared" si="13"/>
        <v>0</v>
      </c>
      <c r="AS21">
        <f>SUM($AG21:AG21)</f>
        <v>2</v>
      </c>
      <c r="AT21">
        <f>SUM($AG21:AH21)</f>
        <v>4</v>
      </c>
      <c r="AU21">
        <f>SUM($AG21:AI21)</f>
        <v>6</v>
      </c>
      <c r="AV21">
        <f>SUM($AG21:AJ21)</f>
        <v>8</v>
      </c>
      <c r="AX21">
        <f>SUM($AL21:AL21)</f>
        <v>8</v>
      </c>
      <c r="AY21">
        <f>SUM($AL21:AM21)</f>
        <v>16</v>
      </c>
      <c r="AZ21">
        <f>SUM($AL21:AN21)</f>
        <v>28</v>
      </c>
      <c r="BA21">
        <f>SUM($AL21:AO21)</f>
        <v>36</v>
      </c>
      <c r="BC21">
        <f t="array" ref="BC21">INDEX(DAT!$C$3:$C$26,MATCH(100*MainTour!$A21+RIGHT(BC$1,1),100*DAT!$A$3:$A$26+DAT!$B$3:$B$26,0))</f>
        <v>2</v>
      </c>
      <c r="BD21">
        <f t="array" ref="BD21">INDEX(DAT!$C$3:$C$26,MATCH(100*MainTour!$A21+RIGHT(BD$1,1),100*DAT!$A$3:$A$26+DAT!$B$3:$B$26,0))</f>
        <v>4</v>
      </c>
      <c r="BE21">
        <f t="array" ref="BE21">INDEX(DAT!$C$3:$C$26,MATCH(100*MainTour!$A21+RIGHT(BE$1,1),100*DAT!$A$3:$A$26+DAT!$B$3:$B$26,0))</f>
        <v>6</v>
      </c>
      <c r="BF21">
        <f t="array" ref="BF21">INDEX(DAT!$C$3:$C$26,MATCH(100*MainTour!$A21+RIGHT(BF$1,1),100*DAT!$A$3:$A$26+DAT!$B$3:$B$26,0))</f>
        <v>8</v>
      </c>
      <c r="BH21">
        <f t="array" ref="BH21">INDEX(DAT!$C$34:$C$57,MATCH(100*MainTour!$A21+RIGHT(BC$1,1),100*DAT!$A$34:$A$57+DAT!$B$34:$B$57,0))</f>
        <v>5</v>
      </c>
      <c r="BI21">
        <f t="array" ref="BI21">INDEX(DAT!$C$34:$C$57,MATCH(100*MainTour!$A21+RIGHT(BD$1,1),100*DAT!$A$34:$A$57+DAT!$B$34:$B$57,0))</f>
        <v>10</v>
      </c>
      <c r="BJ21">
        <f t="array" ref="BJ21">INDEX(DAT!$C$34:$C$57,MATCH(100*MainTour!$A21+RIGHT(BE$1,1),100*DAT!$A$34:$A$57+DAT!$B$34:$B$57,0))</f>
        <v>15</v>
      </c>
      <c r="BK21">
        <f t="array" ref="BK21">INDEX(DAT!$C$34:$C$57,MATCH(100*MainTour!$A21+RIGHT(BF$1,1),100*DAT!$A$34:$A$57+DAT!$B$34:$B$57,0))</f>
        <v>20</v>
      </c>
      <c r="BM21" t="b">
        <f t="shared" si="14"/>
        <v>1</v>
      </c>
      <c r="BN21" t="b">
        <f t="shared" si="15"/>
        <v>1</v>
      </c>
      <c r="BO21" t="b">
        <f t="shared" si="16"/>
        <v>1</v>
      </c>
      <c r="BP21" t="b">
        <f t="shared" si="17"/>
        <v>1</v>
      </c>
      <c r="BR21">
        <f t="array" ref="BR21">INDEX(DAT!$C$63:$C$86,MATCH(100*MainTour!$A21+RIGHT(BC$1,1),100*DAT!$A$63:$A$86+DAT!$B$63:$B$86,0))</f>
        <v>2</v>
      </c>
      <c r="BS21">
        <f t="array" ref="BS21">INDEX(DAT!$C$63:$C$86,MATCH(100*MainTour!$A21+RIGHT(BD$1,1),100*DAT!$A$63:$A$86+DAT!$B$63:$B$86,0))</f>
        <v>2</v>
      </c>
      <c r="BT21">
        <f t="array" ref="BT21">INDEX(DAT!$C$63:$C$86,MATCH(100*MainTour!$A21+RIGHT(BE$1,1),100*DAT!$A$63:$A$86+DAT!$B$63:$B$86,0))</f>
        <v>2</v>
      </c>
      <c r="BU21">
        <f t="array" ref="BU21">INDEX(DAT!$C$63:$C$86,MATCH(100*MainTour!$A21+RIGHT(BF$1,1),100*DAT!$A$63:$A$86+DAT!$B$63:$B$86,0))</f>
        <v>2</v>
      </c>
      <c r="BW21">
        <f t="array" ref="BW21">INDEX(DAT!$C$92:$C$115,MATCH(100*MainTour!$A21+RIGHT(BC$1,1),100*DAT!$A$92:$A$115+DAT!$B$92:$B$115,0))</f>
        <v>5</v>
      </c>
      <c r="BX21">
        <f t="array" ref="BX21">INDEX(DAT!$C$92:$C$115,MATCH(100*MainTour!$A21+RIGHT(BD$1,1),100*DAT!$A$92:$A$115+DAT!$B$92:$B$115,0))</f>
        <v>5</v>
      </c>
      <c r="BY21">
        <f t="array" ref="BY21">INDEX(DAT!$C$92:$C$115,MATCH(100*MainTour!$A21+RIGHT(BE$1,1),100*DAT!$A$92:$A$115+DAT!$B$92:$B$115,0))</f>
        <v>5</v>
      </c>
      <c r="BZ21">
        <f t="array" ref="BZ21">INDEX(DAT!$C$92:$C$115,MATCH(100*MainTour!$A21+RIGHT(BF$1,1),100*DAT!$A$92:$A$115+DAT!$B$92:$B$115,0))</f>
        <v>5</v>
      </c>
      <c r="CB21" t="b">
        <f t="shared" si="18"/>
        <v>1</v>
      </c>
      <c r="CC21" t="b">
        <f t="shared" si="19"/>
        <v>1</v>
      </c>
      <c r="CD21" t="b">
        <f t="shared" si="20"/>
        <v>1</v>
      </c>
      <c r="CE21" t="b">
        <f t="shared" si="21"/>
        <v>1</v>
      </c>
      <c r="CG21">
        <f t="array" ref="CG21">INDEX(DAT!$C$476:$C$499,MATCH(100*MainTour!$A21+RIGHT(BC$1,1),100*DAT!$A$476:$A$499+DAT!$B$476:$B$499,0))/2</f>
        <v>8</v>
      </c>
      <c r="CH21">
        <f t="array" ref="CH21">INDEX(DAT!$C$476:$C$499,MATCH(100*MainTour!$A21+RIGHT(BD$1,1),100*DAT!$A$476:$A$499+DAT!$B$476:$B$499,0))/2</f>
        <v>16</v>
      </c>
      <c r="CI21">
        <f t="array" ref="CI21">INDEX(DAT!$C$476:$C$499,MATCH(100*MainTour!$A21+RIGHT(BE$1,1),100*DAT!$A$476:$A$499+DAT!$B$476:$B$499,0))/2</f>
        <v>24</v>
      </c>
      <c r="CJ21">
        <f t="array" ref="CJ21">INDEX(DAT!$C$476:$C$499,MATCH(100*MainTour!$A21+RIGHT(BF$1,1),100*DAT!$A$476:$A$499+DAT!$B$476:$B$499,0))/2</f>
        <v>32</v>
      </c>
      <c r="CL21">
        <f t="array" ref="CL21">INDEX(DAT!$C$506:$C$529,MATCH(100*MainTour!$A21+RIGHT(BC$1,1),100*DAT!$A$506:$A$529+DAT!$B$506:$B$529,0))/2</f>
        <v>32</v>
      </c>
      <c r="CM21">
        <f t="array" ref="CM21">INDEX(DAT!$C$506:$C$529,MATCH(100*MainTour!$A21+RIGHT(BD$1,1),100*DAT!$A$506:$A$529+DAT!$B$506:$B$529,0))/2</f>
        <v>64</v>
      </c>
      <c r="CN21">
        <f t="array" ref="CN21">INDEX(DAT!$C$506:$C$529,MATCH(100*MainTour!$A21+RIGHT(BE$1,1),100*DAT!$A$506:$A$529+DAT!$B$506:$B$529,0))/2</f>
        <v>96</v>
      </c>
      <c r="CO21">
        <f t="array" ref="CO21">INDEX(DAT!$C$506:$C$529,MATCH(100*MainTour!$A21+RIGHT(BF$1,1),100*DAT!$A$506:$A$529+DAT!$B$506:$B$529,0))/2</f>
        <v>128</v>
      </c>
      <c r="CQ21" t="b">
        <f t="shared" si="22"/>
        <v>1</v>
      </c>
      <c r="CR21" t="b">
        <f t="shared" si="23"/>
        <v>1</v>
      </c>
      <c r="CS21" t="b">
        <f t="shared" si="24"/>
        <v>1</v>
      </c>
      <c r="CT21" t="b">
        <f t="shared" si="25"/>
        <v>1</v>
      </c>
      <c r="CV21">
        <f t="array" ref="CV21">INDEX(DAT!$C$544:$C$567,MATCH(100*MainTour!$A21+RIGHT(BC$1,1),100*DAT!$A$544:$A$567+DAT!$B$544:$B$567,0))/2</f>
        <v>8</v>
      </c>
      <c r="CW21">
        <f t="array" ref="CW21">INDEX(DAT!$C$544:$C$567,MATCH(100*MainTour!$A21+RIGHT(BD$1,1),100*DAT!$A$544:$A$567+DAT!$B$544:$B$567,0))/2</f>
        <v>8</v>
      </c>
      <c r="CX21">
        <f t="array" ref="CX21">INDEX(DAT!$C$544:$C$567,MATCH(100*MainTour!$A21+RIGHT(BE$1,1),100*DAT!$A$544:$A$567+DAT!$B$544:$B$567,0))/2</f>
        <v>8</v>
      </c>
      <c r="CY21">
        <f t="array" ref="CY21">INDEX(DAT!$C$544:$C$567,MATCH(100*MainTour!$A21+RIGHT(BF$1,1),100*DAT!$A$544:$A$567+DAT!$B$544:$B$567,0))/2</f>
        <v>8</v>
      </c>
      <c r="DA21">
        <f t="array" ref="DA21">INDEX(DAT!$C$573:$C$596,MATCH(100*MainTour!$A21+RIGHT(BC$1,1),100*DAT!$A$573:$A$596+DAT!$B$573:$B$596,0))/2</f>
        <v>32</v>
      </c>
      <c r="DB21">
        <f t="array" ref="DB21">INDEX(DAT!$C$573:$C$596,MATCH(100*MainTour!$A21+RIGHT(BD$1,1),100*DAT!$A$573:$A$596+DAT!$B$573:$B$596,0))/2</f>
        <v>32</v>
      </c>
      <c r="DC21">
        <f t="array" ref="DC21">INDEX(DAT!$C$573:$C$596,MATCH(100*MainTour!$A21+RIGHT(BE$1,1),100*DAT!$A$573:$A$596+DAT!$B$573:$B$596,0))/2</f>
        <v>32</v>
      </c>
      <c r="DD21">
        <f t="array" ref="DD21">INDEX(DAT!$C$573:$C$596,MATCH(100*MainTour!$A21+RIGHT(BF$1,1),100*DAT!$A$573:$A$596+DAT!$B$573:$B$596,0))/2</f>
        <v>32</v>
      </c>
      <c r="DF21" t="b">
        <f t="shared" si="26"/>
        <v>1</v>
      </c>
      <c r="DG21" t="b">
        <f t="shared" si="27"/>
        <v>1</v>
      </c>
      <c r="DH21" t="b">
        <f t="shared" si="28"/>
        <v>1</v>
      </c>
      <c r="DI21" t="b">
        <f t="shared" si="29"/>
        <v>1</v>
      </c>
    </row>
    <row r="22" spans="1:113" x14ac:dyDescent="0.25">
      <c r="A22" s="2">
        <v>1</v>
      </c>
      <c r="B22" s="5" t="s">
        <v>1</v>
      </c>
      <c r="C22" s="2" t="s">
        <v>5</v>
      </c>
      <c r="D22" s="2" t="s">
        <v>5</v>
      </c>
      <c r="E22" s="2" t="s">
        <v>5</v>
      </c>
      <c r="F22" s="2" t="s">
        <v>62</v>
      </c>
      <c r="G22" s="2" t="s">
        <v>62</v>
      </c>
      <c r="H22" s="5" t="s">
        <v>5</v>
      </c>
      <c r="I22" s="5" t="s">
        <v>5</v>
      </c>
      <c r="J22" s="2" t="s">
        <v>62</v>
      </c>
      <c r="K22" s="2" t="s">
        <v>5</v>
      </c>
      <c r="L22" s="2" t="s">
        <v>5</v>
      </c>
      <c r="M22" s="2" t="s">
        <v>5</v>
      </c>
      <c r="N22" s="2" t="s">
        <v>61</v>
      </c>
      <c r="O22" s="5" t="s">
        <v>5</v>
      </c>
      <c r="P22" s="5" t="s">
        <v>5</v>
      </c>
      <c r="Q22" s="2" t="s">
        <v>5</v>
      </c>
      <c r="R22" s="2" t="s">
        <v>5</v>
      </c>
      <c r="S22" s="2" t="s">
        <v>61</v>
      </c>
      <c r="T22" s="2" t="s">
        <v>61</v>
      </c>
      <c r="U22" s="2" t="s">
        <v>5</v>
      </c>
      <c r="V22" s="5" t="s">
        <v>5</v>
      </c>
      <c r="W22" s="5" t="s">
        <v>5</v>
      </c>
      <c r="X22" s="2" t="s">
        <v>61</v>
      </c>
      <c r="Y22" s="2" t="s">
        <v>5</v>
      </c>
      <c r="Z22" s="2" t="s">
        <v>5</v>
      </c>
      <c r="AA22" s="2" t="s">
        <v>61</v>
      </c>
      <c r="AB22" s="2" t="s">
        <v>5</v>
      </c>
      <c r="AC22" s="5" t="s">
        <v>5</v>
      </c>
      <c r="AE22">
        <f t="shared" si="2"/>
        <v>2</v>
      </c>
      <c r="AF22">
        <f t="shared" si="3"/>
        <v>8</v>
      </c>
      <c r="AG22">
        <f t="shared" si="4"/>
        <v>2</v>
      </c>
      <c r="AH22">
        <f t="shared" si="5"/>
        <v>2</v>
      </c>
      <c r="AI22">
        <f t="shared" si="6"/>
        <v>2</v>
      </c>
      <c r="AJ22">
        <f t="shared" si="7"/>
        <v>2</v>
      </c>
      <c r="AK22">
        <f t="shared" si="8"/>
        <v>44</v>
      </c>
      <c r="AL22">
        <f t="shared" si="9"/>
        <v>16</v>
      </c>
      <c r="AM22">
        <f t="shared" si="10"/>
        <v>12</v>
      </c>
      <c r="AN22">
        <f t="shared" si="11"/>
        <v>8</v>
      </c>
      <c r="AO22">
        <f t="shared" si="12"/>
        <v>8</v>
      </c>
      <c r="AQ22">
        <f t="shared" si="13"/>
        <v>0</v>
      </c>
      <c r="AS22">
        <f>SUM($AG22:AG22)</f>
        <v>2</v>
      </c>
      <c r="AT22">
        <f>SUM($AG22:AH22)</f>
        <v>4</v>
      </c>
      <c r="AU22">
        <f>SUM($AG22:AI22)</f>
        <v>6</v>
      </c>
      <c r="AV22">
        <f>SUM($AG22:AJ22)</f>
        <v>8</v>
      </c>
      <c r="AX22">
        <f>SUM($AL22:AL22)</f>
        <v>16</v>
      </c>
      <c r="AY22">
        <f>SUM($AL22:AM22)</f>
        <v>28</v>
      </c>
      <c r="AZ22">
        <f>SUM($AL22:AN22)</f>
        <v>36</v>
      </c>
      <c r="BA22">
        <f>SUM($AL22:AO22)</f>
        <v>44</v>
      </c>
      <c r="BC22">
        <f t="array" ref="BC22">INDEX(DAT!$C$3:$C$26,MATCH(100*MainTour!$A22+RIGHT(BC$1,1),100*DAT!$A$3:$A$26+DAT!$B$3:$B$26,0))</f>
        <v>2</v>
      </c>
      <c r="BD22">
        <f t="array" ref="BD22">INDEX(DAT!$C$3:$C$26,MATCH(100*MainTour!$A22+RIGHT(BD$1,1),100*DAT!$A$3:$A$26+DAT!$B$3:$B$26,0))</f>
        <v>4</v>
      </c>
      <c r="BE22">
        <f t="array" ref="BE22">INDEX(DAT!$C$3:$C$26,MATCH(100*MainTour!$A22+RIGHT(BE$1,1),100*DAT!$A$3:$A$26+DAT!$B$3:$B$26,0))</f>
        <v>6</v>
      </c>
      <c r="BF22">
        <f t="array" ref="BF22">INDEX(DAT!$C$3:$C$26,MATCH(100*MainTour!$A22+RIGHT(BF$1,1),100*DAT!$A$3:$A$26+DAT!$B$3:$B$26,0))</f>
        <v>8</v>
      </c>
      <c r="BH22">
        <f t="array" ref="BH22">INDEX(DAT!$C$34:$C$57,MATCH(100*MainTour!$A22+RIGHT(BC$1,1),100*DAT!$A$34:$A$57+DAT!$B$34:$B$57,0))</f>
        <v>5</v>
      </c>
      <c r="BI22">
        <f t="array" ref="BI22">INDEX(DAT!$C$34:$C$57,MATCH(100*MainTour!$A22+RIGHT(BD$1,1),100*DAT!$A$34:$A$57+DAT!$B$34:$B$57,0))</f>
        <v>10</v>
      </c>
      <c r="BJ22">
        <f t="array" ref="BJ22">INDEX(DAT!$C$34:$C$57,MATCH(100*MainTour!$A22+RIGHT(BE$1,1),100*DAT!$A$34:$A$57+DAT!$B$34:$B$57,0))</f>
        <v>15</v>
      </c>
      <c r="BK22">
        <f t="array" ref="BK22">INDEX(DAT!$C$34:$C$57,MATCH(100*MainTour!$A22+RIGHT(BF$1,1),100*DAT!$A$34:$A$57+DAT!$B$34:$B$57,0))</f>
        <v>20</v>
      </c>
      <c r="BM22" t="b">
        <f t="shared" si="14"/>
        <v>1</v>
      </c>
      <c r="BN22" t="b">
        <f t="shared" si="15"/>
        <v>1</v>
      </c>
      <c r="BO22" t="b">
        <f t="shared" si="16"/>
        <v>1</v>
      </c>
      <c r="BP22" t="b">
        <f t="shared" si="17"/>
        <v>1</v>
      </c>
      <c r="BR22">
        <f t="array" ref="BR22">INDEX(DAT!$C$63:$C$86,MATCH(100*MainTour!$A22+RIGHT(BC$1,1),100*DAT!$A$63:$A$86+DAT!$B$63:$B$86,0))</f>
        <v>2</v>
      </c>
      <c r="BS22">
        <f t="array" ref="BS22">INDEX(DAT!$C$63:$C$86,MATCH(100*MainTour!$A22+RIGHT(BD$1,1),100*DAT!$A$63:$A$86+DAT!$B$63:$B$86,0))</f>
        <v>2</v>
      </c>
      <c r="BT22">
        <f t="array" ref="BT22">INDEX(DAT!$C$63:$C$86,MATCH(100*MainTour!$A22+RIGHT(BE$1,1),100*DAT!$A$63:$A$86+DAT!$B$63:$B$86,0))</f>
        <v>2</v>
      </c>
      <c r="BU22">
        <f t="array" ref="BU22">INDEX(DAT!$C$63:$C$86,MATCH(100*MainTour!$A22+RIGHT(BF$1,1),100*DAT!$A$63:$A$86+DAT!$B$63:$B$86,0))</f>
        <v>2</v>
      </c>
      <c r="BW22">
        <f t="array" ref="BW22">INDEX(DAT!$C$92:$C$115,MATCH(100*MainTour!$A22+RIGHT(BC$1,1),100*DAT!$A$92:$A$115+DAT!$B$92:$B$115,0))</f>
        <v>5</v>
      </c>
      <c r="BX22">
        <f t="array" ref="BX22">INDEX(DAT!$C$92:$C$115,MATCH(100*MainTour!$A22+RIGHT(BD$1,1),100*DAT!$A$92:$A$115+DAT!$B$92:$B$115,0))</f>
        <v>5</v>
      </c>
      <c r="BY22">
        <f t="array" ref="BY22">INDEX(DAT!$C$92:$C$115,MATCH(100*MainTour!$A22+RIGHT(BE$1,1),100*DAT!$A$92:$A$115+DAT!$B$92:$B$115,0))</f>
        <v>5</v>
      </c>
      <c r="BZ22">
        <f t="array" ref="BZ22">INDEX(DAT!$C$92:$C$115,MATCH(100*MainTour!$A22+RIGHT(BF$1,1),100*DAT!$A$92:$A$115+DAT!$B$92:$B$115,0))</f>
        <v>5</v>
      </c>
      <c r="CB22" t="b">
        <f t="shared" si="18"/>
        <v>1</v>
      </c>
      <c r="CC22" t="b">
        <f t="shared" si="19"/>
        <v>1</v>
      </c>
      <c r="CD22" t="b">
        <f t="shared" si="20"/>
        <v>1</v>
      </c>
      <c r="CE22" t="b">
        <f t="shared" si="21"/>
        <v>1</v>
      </c>
      <c r="CG22">
        <f t="array" ref="CG22">INDEX(DAT!$C$476:$C$499,MATCH(100*MainTour!$A22+RIGHT(BC$1,1),100*DAT!$A$476:$A$499+DAT!$B$476:$B$499,0))/2</f>
        <v>8</v>
      </c>
      <c r="CH22">
        <f t="array" ref="CH22">INDEX(DAT!$C$476:$C$499,MATCH(100*MainTour!$A22+RIGHT(BD$1,1),100*DAT!$A$476:$A$499+DAT!$B$476:$B$499,0))/2</f>
        <v>16</v>
      </c>
      <c r="CI22">
        <f t="array" ref="CI22">INDEX(DAT!$C$476:$C$499,MATCH(100*MainTour!$A22+RIGHT(BE$1,1),100*DAT!$A$476:$A$499+DAT!$B$476:$B$499,0))/2</f>
        <v>24</v>
      </c>
      <c r="CJ22">
        <f t="array" ref="CJ22">INDEX(DAT!$C$476:$C$499,MATCH(100*MainTour!$A22+RIGHT(BF$1,1),100*DAT!$A$476:$A$499+DAT!$B$476:$B$499,0))/2</f>
        <v>32</v>
      </c>
      <c r="CL22">
        <f t="array" ref="CL22">INDEX(DAT!$C$506:$C$529,MATCH(100*MainTour!$A22+RIGHT(BC$1,1),100*DAT!$A$506:$A$529+DAT!$B$506:$B$529,0))/2</f>
        <v>32</v>
      </c>
      <c r="CM22">
        <f t="array" ref="CM22">INDEX(DAT!$C$506:$C$529,MATCH(100*MainTour!$A22+RIGHT(BD$1,1),100*DAT!$A$506:$A$529+DAT!$B$506:$B$529,0))/2</f>
        <v>64</v>
      </c>
      <c r="CN22">
        <f t="array" ref="CN22">INDEX(DAT!$C$506:$C$529,MATCH(100*MainTour!$A22+RIGHT(BE$1,1),100*DAT!$A$506:$A$529+DAT!$B$506:$B$529,0))/2</f>
        <v>96</v>
      </c>
      <c r="CO22">
        <f t="array" ref="CO22">INDEX(DAT!$C$506:$C$529,MATCH(100*MainTour!$A22+RIGHT(BF$1,1),100*DAT!$A$506:$A$529+DAT!$B$506:$B$529,0))/2</f>
        <v>128</v>
      </c>
      <c r="CQ22" t="b">
        <f t="shared" si="22"/>
        <v>1</v>
      </c>
      <c r="CR22" t="b">
        <f t="shared" si="23"/>
        <v>1</v>
      </c>
      <c r="CS22" t="b">
        <f t="shared" si="24"/>
        <v>1</v>
      </c>
      <c r="CT22" t="b">
        <f t="shared" si="25"/>
        <v>1</v>
      </c>
      <c r="CV22">
        <f t="array" ref="CV22">INDEX(DAT!$C$544:$C$567,MATCH(100*MainTour!$A22+RIGHT(BC$1,1),100*DAT!$A$544:$A$567+DAT!$B$544:$B$567,0))/2</f>
        <v>8</v>
      </c>
      <c r="CW22">
        <f t="array" ref="CW22">INDEX(DAT!$C$544:$C$567,MATCH(100*MainTour!$A22+RIGHT(BD$1,1),100*DAT!$A$544:$A$567+DAT!$B$544:$B$567,0))/2</f>
        <v>8</v>
      </c>
      <c r="CX22">
        <f t="array" ref="CX22">INDEX(DAT!$C$544:$C$567,MATCH(100*MainTour!$A22+RIGHT(BE$1,1),100*DAT!$A$544:$A$567+DAT!$B$544:$B$567,0))/2</f>
        <v>8</v>
      </c>
      <c r="CY22">
        <f t="array" ref="CY22">INDEX(DAT!$C$544:$C$567,MATCH(100*MainTour!$A22+RIGHT(BF$1,1),100*DAT!$A$544:$A$567+DAT!$B$544:$B$567,0))/2</f>
        <v>8</v>
      </c>
      <c r="DA22">
        <f t="array" ref="DA22">INDEX(DAT!$C$573:$C$596,MATCH(100*MainTour!$A22+RIGHT(BC$1,1),100*DAT!$A$573:$A$596+DAT!$B$573:$B$596,0))/2</f>
        <v>32</v>
      </c>
      <c r="DB22">
        <f t="array" ref="DB22">INDEX(DAT!$C$573:$C$596,MATCH(100*MainTour!$A22+RIGHT(BD$1,1),100*DAT!$A$573:$A$596+DAT!$B$573:$B$596,0))/2</f>
        <v>32</v>
      </c>
      <c r="DC22">
        <f t="array" ref="DC22">INDEX(DAT!$C$573:$C$596,MATCH(100*MainTour!$A22+RIGHT(BE$1,1),100*DAT!$A$573:$A$596+DAT!$B$573:$B$596,0))/2</f>
        <v>32</v>
      </c>
      <c r="DD22">
        <f t="array" ref="DD22">INDEX(DAT!$C$573:$C$596,MATCH(100*MainTour!$A22+RIGHT(BF$1,1),100*DAT!$A$573:$A$596+DAT!$B$573:$B$596,0))/2</f>
        <v>32</v>
      </c>
      <c r="DF22" t="b">
        <f t="shared" si="26"/>
        <v>1</v>
      </c>
      <c r="DG22" t="b">
        <f t="shared" si="27"/>
        <v>1</v>
      </c>
      <c r="DH22" t="b">
        <f t="shared" si="28"/>
        <v>1</v>
      </c>
      <c r="DI22" t="b">
        <f t="shared" si="29"/>
        <v>1</v>
      </c>
    </row>
    <row r="23" spans="1:113" x14ac:dyDescent="0.25">
      <c r="A23" s="2">
        <v>1</v>
      </c>
      <c r="B23" s="5" t="s">
        <v>1</v>
      </c>
      <c r="C23" s="2" t="s">
        <v>5</v>
      </c>
      <c r="D23" s="2" t="s">
        <v>5</v>
      </c>
      <c r="E23" s="2" t="s">
        <v>5</v>
      </c>
      <c r="F23" s="2" t="s">
        <v>5</v>
      </c>
      <c r="G23" s="2" t="s">
        <v>61</v>
      </c>
      <c r="H23" s="5" t="s">
        <v>62</v>
      </c>
      <c r="I23" s="5" t="s">
        <v>61</v>
      </c>
      <c r="J23" s="2" t="s">
        <v>5</v>
      </c>
      <c r="K23" s="2" t="s">
        <v>61</v>
      </c>
      <c r="L23" s="2" t="s">
        <v>5</v>
      </c>
      <c r="M23" s="2" t="s">
        <v>5</v>
      </c>
      <c r="N23" s="2" t="s">
        <v>5</v>
      </c>
      <c r="O23" s="5" t="s">
        <v>5</v>
      </c>
      <c r="P23" s="5" t="s">
        <v>5</v>
      </c>
      <c r="Q23" s="2" t="s">
        <v>5</v>
      </c>
      <c r="R23" s="2" t="s">
        <v>61</v>
      </c>
      <c r="S23" s="2" t="s">
        <v>5</v>
      </c>
      <c r="T23" s="2" t="s">
        <v>5</v>
      </c>
      <c r="U23" s="2" t="s">
        <v>5</v>
      </c>
      <c r="V23" s="5" t="s">
        <v>62</v>
      </c>
      <c r="W23" s="5" t="s">
        <v>61</v>
      </c>
      <c r="X23" s="2" t="s">
        <v>5</v>
      </c>
      <c r="Y23" s="2" t="s">
        <v>5</v>
      </c>
      <c r="Z23" s="2" t="s">
        <v>5</v>
      </c>
      <c r="AA23" s="2" t="s">
        <v>5</v>
      </c>
      <c r="AB23" s="2" t="s">
        <v>61</v>
      </c>
      <c r="AC23" s="5" t="s">
        <v>5</v>
      </c>
      <c r="AE23">
        <f t="shared" si="2"/>
        <v>3</v>
      </c>
      <c r="AF23">
        <f t="shared" si="3"/>
        <v>8</v>
      </c>
      <c r="AG23">
        <f t="shared" si="4"/>
        <v>2</v>
      </c>
      <c r="AH23">
        <f t="shared" si="5"/>
        <v>2</v>
      </c>
      <c r="AI23">
        <f t="shared" si="6"/>
        <v>2</v>
      </c>
      <c r="AJ23">
        <f t="shared" si="7"/>
        <v>2</v>
      </c>
      <c r="AK23">
        <f t="shared" si="8"/>
        <v>40</v>
      </c>
      <c r="AL23">
        <f t="shared" si="9"/>
        <v>12</v>
      </c>
      <c r="AM23">
        <f t="shared" si="10"/>
        <v>8</v>
      </c>
      <c r="AN23">
        <f t="shared" si="11"/>
        <v>12</v>
      </c>
      <c r="AO23">
        <f t="shared" si="12"/>
        <v>8</v>
      </c>
      <c r="AQ23">
        <f t="shared" si="13"/>
        <v>4</v>
      </c>
      <c r="AS23">
        <f>SUM($AG23:AG23)</f>
        <v>2</v>
      </c>
      <c r="AT23">
        <f>SUM($AG23:AH23)</f>
        <v>4</v>
      </c>
      <c r="AU23">
        <f>SUM($AG23:AI23)</f>
        <v>6</v>
      </c>
      <c r="AV23">
        <f>SUM($AG23:AJ23)</f>
        <v>8</v>
      </c>
      <c r="AX23">
        <f>SUM($AL23:AL23)</f>
        <v>12</v>
      </c>
      <c r="AY23">
        <f>SUM($AL23:AM23)</f>
        <v>20</v>
      </c>
      <c r="AZ23">
        <f>SUM($AL23:AN23)</f>
        <v>32</v>
      </c>
      <c r="BA23">
        <f>SUM($AL23:AO23)</f>
        <v>40</v>
      </c>
      <c r="BC23">
        <f t="array" ref="BC23">INDEX(DAT!$C$3:$C$26,MATCH(100*MainTour!$A23+RIGHT(BC$1,1),100*DAT!$A$3:$A$26+DAT!$B$3:$B$26,0))</f>
        <v>2</v>
      </c>
      <c r="BD23">
        <f t="array" ref="BD23">INDEX(DAT!$C$3:$C$26,MATCH(100*MainTour!$A23+RIGHT(BD$1,1),100*DAT!$A$3:$A$26+DAT!$B$3:$B$26,0))</f>
        <v>4</v>
      </c>
      <c r="BE23">
        <f t="array" ref="BE23">INDEX(DAT!$C$3:$C$26,MATCH(100*MainTour!$A23+RIGHT(BE$1,1),100*DAT!$A$3:$A$26+DAT!$B$3:$B$26,0))</f>
        <v>6</v>
      </c>
      <c r="BF23">
        <f t="array" ref="BF23">INDEX(DAT!$C$3:$C$26,MATCH(100*MainTour!$A23+RIGHT(BF$1,1),100*DAT!$A$3:$A$26+DAT!$B$3:$B$26,0))</f>
        <v>8</v>
      </c>
      <c r="BH23">
        <f t="array" ref="BH23">INDEX(DAT!$C$34:$C$57,MATCH(100*MainTour!$A23+RIGHT(BC$1,1),100*DAT!$A$34:$A$57+DAT!$B$34:$B$57,0))</f>
        <v>5</v>
      </c>
      <c r="BI23">
        <f t="array" ref="BI23">INDEX(DAT!$C$34:$C$57,MATCH(100*MainTour!$A23+RIGHT(BD$1,1),100*DAT!$A$34:$A$57+DAT!$B$34:$B$57,0))</f>
        <v>10</v>
      </c>
      <c r="BJ23">
        <f t="array" ref="BJ23">INDEX(DAT!$C$34:$C$57,MATCH(100*MainTour!$A23+RIGHT(BE$1,1),100*DAT!$A$34:$A$57+DAT!$B$34:$B$57,0))</f>
        <v>15</v>
      </c>
      <c r="BK23">
        <f t="array" ref="BK23">INDEX(DAT!$C$34:$C$57,MATCH(100*MainTour!$A23+RIGHT(BF$1,1),100*DAT!$A$34:$A$57+DAT!$B$34:$B$57,0))</f>
        <v>20</v>
      </c>
      <c r="BM23" t="b">
        <f t="shared" si="14"/>
        <v>1</v>
      </c>
      <c r="BN23" t="b">
        <f t="shared" si="15"/>
        <v>1</v>
      </c>
      <c r="BO23" t="b">
        <f t="shared" si="16"/>
        <v>1</v>
      </c>
      <c r="BP23" t="b">
        <f t="shared" si="17"/>
        <v>1</v>
      </c>
      <c r="BR23">
        <f t="array" ref="BR23">INDEX(DAT!$C$63:$C$86,MATCH(100*MainTour!$A23+RIGHT(BC$1,1),100*DAT!$A$63:$A$86+DAT!$B$63:$B$86,0))</f>
        <v>2</v>
      </c>
      <c r="BS23">
        <f t="array" ref="BS23">INDEX(DAT!$C$63:$C$86,MATCH(100*MainTour!$A23+RIGHT(BD$1,1),100*DAT!$A$63:$A$86+DAT!$B$63:$B$86,0))</f>
        <v>2</v>
      </c>
      <c r="BT23">
        <f t="array" ref="BT23">INDEX(DAT!$C$63:$C$86,MATCH(100*MainTour!$A23+RIGHT(BE$1,1),100*DAT!$A$63:$A$86+DAT!$B$63:$B$86,0))</f>
        <v>2</v>
      </c>
      <c r="BU23">
        <f t="array" ref="BU23">INDEX(DAT!$C$63:$C$86,MATCH(100*MainTour!$A23+RIGHT(BF$1,1),100*DAT!$A$63:$A$86+DAT!$B$63:$B$86,0))</f>
        <v>2</v>
      </c>
      <c r="BW23">
        <f t="array" ref="BW23">INDEX(DAT!$C$92:$C$115,MATCH(100*MainTour!$A23+RIGHT(BC$1,1),100*DAT!$A$92:$A$115+DAT!$B$92:$B$115,0))</f>
        <v>5</v>
      </c>
      <c r="BX23">
        <f t="array" ref="BX23">INDEX(DAT!$C$92:$C$115,MATCH(100*MainTour!$A23+RIGHT(BD$1,1),100*DAT!$A$92:$A$115+DAT!$B$92:$B$115,0))</f>
        <v>5</v>
      </c>
      <c r="BY23">
        <f t="array" ref="BY23">INDEX(DAT!$C$92:$C$115,MATCH(100*MainTour!$A23+RIGHT(BE$1,1),100*DAT!$A$92:$A$115+DAT!$B$92:$B$115,0))</f>
        <v>5</v>
      </c>
      <c r="BZ23">
        <f t="array" ref="BZ23">INDEX(DAT!$C$92:$C$115,MATCH(100*MainTour!$A23+RIGHT(BF$1,1),100*DAT!$A$92:$A$115+DAT!$B$92:$B$115,0))</f>
        <v>5</v>
      </c>
      <c r="CB23" t="b">
        <f t="shared" si="18"/>
        <v>1</v>
      </c>
      <c r="CC23" t="b">
        <f t="shared" si="19"/>
        <v>1</v>
      </c>
      <c r="CD23" t="b">
        <f t="shared" si="20"/>
        <v>1</v>
      </c>
      <c r="CE23" t="b">
        <f t="shared" si="21"/>
        <v>1</v>
      </c>
      <c r="CG23">
        <f t="array" ref="CG23">INDEX(DAT!$C$476:$C$499,MATCH(100*MainTour!$A23+RIGHT(BC$1,1),100*DAT!$A$476:$A$499+DAT!$B$476:$B$499,0))/2</f>
        <v>8</v>
      </c>
      <c r="CH23">
        <f t="array" ref="CH23">INDEX(DAT!$C$476:$C$499,MATCH(100*MainTour!$A23+RIGHT(BD$1,1),100*DAT!$A$476:$A$499+DAT!$B$476:$B$499,0))/2</f>
        <v>16</v>
      </c>
      <c r="CI23">
        <f t="array" ref="CI23">INDEX(DAT!$C$476:$C$499,MATCH(100*MainTour!$A23+RIGHT(BE$1,1),100*DAT!$A$476:$A$499+DAT!$B$476:$B$499,0))/2</f>
        <v>24</v>
      </c>
      <c r="CJ23">
        <f t="array" ref="CJ23">INDEX(DAT!$C$476:$C$499,MATCH(100*MainTour!$A23+RIGHT(BF$1,1),100*DAT!$A$476:$A$499+DAT!$B$476:$B$499,0))/2</f>
        <v>32</v>
      </c>
      <c r="CL23">
        <f t="array" ref="CL23">INDEX(DAT!$C$506:$C$529,MATCH(100*MainTour!$A23+RIGHT(BC$1,1),100*DAT!$A$506:$A$529+DAT!$B$506:$B$529,0))/2</f>
        <v>32</v>
      </c>
      <c r="CM23">
        <f t="array" ref="CM23">INDEX(DAT!$C$506:$C$529,MATCH(100*MainTour!$A23+RIGHT(BD$1,1),100*DAT!$A$506:$A$529+DAT!$B$506:$B$529,0))/2</f>
        <v>64</v>
      </c>
      <c r="CN23">
        <f t="array" ref="CN23">INDEX(DAT!$C$506:$C$529,MATCH(100*MainTour!$A23+RIGHT(BE$1,1),100*DAT!$A$506:$A$529+DAT!$B$506:$B$529,0))/2</f>
        <v>96</v>
      </c>
      <c r="CO23">
        <f t="array" ref="CO23">INDEX(DAT!$C$506:$C$529,MATCH(100*MainTour!$A23+RIGHT(BF$1,1),100*DAT!$A$506:$A$529+DAT!$B$506:$B$529,0))/2</f>
        <v>128</v>
      </c>
      <c r="CQ23" t="b">
        <f t="shared" si="22"/>
        <v>1</v>
      </c>
      <c r="CR23" t="b">
        <f t="shared" si="23"/>
        <v>1</v>
      </c>
      <c r="CS23" t="b">
        <f t="shared" si="24"/>
        <v>1</v>
      </c>
      <c r="CT23" t="b">
        <f t="shared" si="25"/>
        <v>1</v>
      </c>
      <c r="CV23">
        <f t="array" ref="CV23">INDEX(DAT!$C$544:$C$567,MATCH(100*MainTour!$A23+RIGHT(BC$1,1),100*DAT!$A$544:$A$567+DAT!$B$544:$B$567,0))/2</f>
        <v>8</v>
      </c>
      <c r="CW23">
        <f t="array" ref="CW23">INDEX(DAT!$C$544:$C$567,MATCH(100*MainTour!$A23+RIGHT(BD$1,1),100*DAT!$A$544:$A$567+DAT!$B$544:$B$567,0))/2</f>
        <v>8</v>
      </c>
      <c r="CX23">
        <f t="array" ref="CX23">INDEX(DAT!$C$544:$C$567,MATCH(100*MainTour!$A23+RIGHT(BE$1,1),100*DAT!$A$544:$A$567+DAT!$B$544:$B$567,0))/2</f>
        <v>8</v>
      </c>
      <c r="CY23">
        <f t="array" ref="CY23">INDEX(DAT!$C$544:$C$567,MATCH(100*MainTour!$A23+RIGHT(BF$1,1),100*DAT!$A$544:$A$567+DAT!$B$544:$B$567,0))/2</f>
        <v>8</v>
      </c>
      <c r="DA23">
        <f t="array" ref="DA23">INDEX(DAT!$C$573:$C$596,MATCH(100*MainTour!$A23+RIGHT(BC$1,1),100*DAT!$A$573:$A$596+DAT!$B$573:$B$596,0))/2</f>
        <v>32</v>
      </c>
      <c r="DB23">
        <f t="array" ref="DB23">INDEX(DAT!$C$573:$C$596,MATCH(100*MainTour!$A23+RIGHT(BD$1,1),100*DAT!$A$573:$A$596+DAT!$B$573:$B$596,0))/2</f>
        <v>32</v>
      </c>
      <c r="DC23">
        <f t="array" ref="DC23">INDEX(DAT!$C$573:$C$596,MATCH(100*MainTour!$A23+RIGHT(BE$1,1),100*DAT!$A$573:$A$596+DAT!$B$573:$B$596,0))/2</f>
        <v>32</v>
      </c>
      <c r="DD23">
        <f t="array" ref="DD23">INDEX(DAT!$C$573:$C$596,MATCH(100*MainTour!$A23+RIGHT(BF$1,1),100*DAT!$A$573:$A$596+DAT!$B$573:$B$596,0))/2</f>
        <v>32</v>
      </c>
      <c r="DF23" t="b">
        <f t="shared" si="26"/>
        <v>1</v>
      </c>
      <c r="DG23" t="b">
        <f t="shared" si="27"/>
        <v>1</v>
      </c>
      <c r="DH23" t="b">
        <f t="shared" si="28"/>
        <v>1</v>
      </c>
      <c r="DI23" t="b">
        <f t="shared" si="29"/>
        <v>1</v>
      </c>
    </row>
    <row r="24" spans="1:113" x14ac:dyDescent="0.25">
      <c r="A24" s="2">
        <v>1</v>
      </c>
      <c r="B24" s="5" t="s">
        <v>45</v>
      </c>
      <c r="C24" s="2" t="s">
        <v>5</v>
      </c>
      <c r="D24" s="2" t="s">
        <v>5</v>
      </c>
      <c r="E24" s="2" t="s">
        <v>61</v>
      </c>
      <c r="F24" s="2" t="s">
        <v>5</v>
      </c>
      <c r="G24" s="2" t="s">
        <v>5</v>
      </c>
      <c r="H24" s="5" t="s">
        <v>5</v>
      </c>
      <c r="I24" s="5" t="s">
        <v>5</v>
      </c>
      <c r="J24" s="2" t="s">
        <v>5</v>
      </c>
      <c r="K24" s="2" t="s">
        <v>5</v>
      </c>
      <c r="L24" s="2" t="s">
        <v>5</v>
      </c>
      <c r="M24" s="2" t="s">
        <v>5</v>
      </c>
      <c r="N24" s="2" t="s">
        <v>61</v>
      </c>
      <c r="O24" s="5" t="s">
        <v>61</v>
      </c>
      <c r="P24" s="5" t="s">
        <v>61</v>
      </c>
      <c r="Q24" s="2" t="s">
        <v>61</v>
      </c>
      <c r="R24" s="2" t="s">
        <v>5</v>
      </c>
      <c r="S24" s="2" t="s">
        <v>5</v>
      </c>
      <c r="T24" s="2" t="s">
        <v>5</v>
      </c>
      <c r="U24" s="2" t="s">
        <v>5</v>
      </c>
      <c r="V24" s="5" t="s">
        <v>5</v>
      </c>
      <c r="W24" s="5" t="s">
        <v>5</v>
      </c>
      <c r="X24" s="2" t="s">
        <v>5</v>
      </c>
      <c r="Y24" s="2" t="s">
        <v>61</v>
      </c>
      <c r="Z24" s="2" t="s">
        <v>5</v>
      </c>
      <c r="AA24" s="2" t="s">
        <v>5</v>
      </c>
      <c r="AB24" s="2" t="s">
        <v>5</v>
      </c>
      <c r="AC24" s="5" t="s">
        <v>62</v>
      </c>
      <c r="AE24">
        <f t="shared" si="2"/>
        <v>4</v>
      </c>
      <c r="AF24">
        <f t="shared" si="3"/>
        <v>8</v>
      </c>
      <c r="AG24">
        <f t="shared" si="4"/>
        <v>2</v>
      </c>
      <c r="AH24">
        <f t="shared" si="5"/>
        <v>2</v>
      </c>
      <c r="AI24">
        <f t="shared" si="6"/>
        <v>2</v>
      </c>
      <c r="AJ24">
        <f t="shared" si="7"/>
        <v>2</v>
      </c>
      <c r="AK24">
        <f t="shared" si="8"/>
        <v>36</v>
      </c>
      <c r="AL24">
        <f t="shared" si="9"/>
        <v>8</v>
      </c>
      <c r="AM24">
        <f t="shared" si="10"/>
        <v>8</v>
      </c>
      <c r="AN24">
        <f t="shared" si="11"/>
        <v>8</v>
      </c>
      <c r="AO24">
        <f t="shared" si="12"/>
        <v>12</v>
      </c>
      <c r="AQ24">
        <f t="shared" si="13"/>
        <v>4</v>
      </c>
      <c r="AS24">
        <f>SUM($AG24:AG24)</f>
        <v>2</v>
      </c>
      <c r="AT24">
        <f>SUM($AG24:AH24)</f>
        <v>4</v>
      </c>
      <c r="AU24">
        <f>SUM($AG24:AI24)</f>
        <v>6</v>
      </c>
      <c r="AV24">
        <f>SUM($AG24:AJ24)</f>
        <v>8</v>
      </c>
      <c r="AX24">
        <f>SUM($AL24:AL24)</f>
        <v>8</v>
      </c>
      <c r="AY24">
        <f>SUM($AL24:AM24)</f>
        <v>16</v>
      </c>
      <c r="AZ24">
        <f>SUM($AL24:AN24)</f>
        <v>24</v>
      </c>
      <c r="BA24">
        <f>SUM($AL24:AO24)</f>
        <v>36</v>
      </c>
      <c r="BC24">
        <f t="array" ref="BC24">INDEX(DAT!$C$3:$C$26,MATCH(100*MainTour!$A24+RIGHT(BC$1,1),100*DAT!$A$3:$A$26+DAT!$B$3:$B$26,0))</f>
        <v>2</v>
      </c>
      <c r="BD24">
        <f t="array" ref="BD24">INDEX(DAT!$C$3:$C$26,MATCH(100*MainTour!$A24+RIGHT(BD$1,1),100*DAT!$A$3:$A$26+DAT!$B$3:$B$26,0))</f>
        <v>4</v>
      </c>
      <c r="BE24">
        <f t="array" ref="BE24">INDEX(DAT!$C$3:$C$26,MATCH(100*MainTour!$A24+RIGHT(BE$1,1),100*DAT!$A$3:$A$26+DAT!$B$3:$B$26,0))</f>
        <v>6</v>
      </c>
      <c r="BF24">
        <f t="array" ref="BF24">INDEX(DAT!$C$3:$C$26,MATCH(100*MainTour!$A24+RIGHT(BF$1,1),100*DAT!$A$3:$A$26+DAT!$B$3:$B$26,0))</f>
        <v>8</v>
      </c>
      <c r="BH24">
        <f t="array" ref="BH24">INDEX(DAT!$C$34:$C$57,MATCH(100*MainTour!$A24+RIGHT(BC$1,1),100*DAT!$A$34:$A$57+DAT!$B$34:$B$57,0))</f>
        <v>5</v>
      </c>
      <c r="BI24">
        <f t="array" ref="BI24">INDEX(DAT!$C$34:$C$57,MATCH(100*MainTour!$A24+RIGHT(BD$1,1),100*DAT!$A$34:$A$57+DAT!$B$34:$B$57,0))</f>
        <v>10</v>
      </c>
      <c r="BJ24">
        <f t="array" ref="BJ24">INDEX(DAT!$C$34:$C$57,MATCH(100*MainTour!$A24+RIGHT(BE$1,1),100*DAT!$A$34:$A$57+DAT!$B$34:$B$57,0))</f>
        <v>15</v>
      </c>
      <c r="BK24">
        <f t="array" ref="BK24">INDEX(DAT!$C$34:$C$57,MATCH(100*MainTour!$A24+RIGHT(BF$1,1),100*DAT!$A$34:$A$57+DAT!$B$34:$B$57,0))</f>
        <v>20</v>
      </c>
      <c r="BM24" t="b">
        <f t="shared" si="14"/>
        <v>1</v>
      </c>
      <c r="BN24" t="b">
        <f t="shared" si="15"/>
        <v>1</v>
      </c>
      <c r="BO24" t="b">
        <f t="shared" si="16"/>
        <v>1</v>
      </c>
      <c r="BP24" t="b">
        <f t="shared" si="17"/>
        <v>1</v>
      </c>
      <c r="BR24">
        <f t="array" ref="BR24">INDEX(DAT!$C$63:$C$86,MATCH(100*MainTour!$A24+RIGHT(BC$1,1),100*DAT!$A$63:$A$86+DAT!$B$63:$B$86,0))</f>
        <v>2</v>
      </c>
      <c r="BS24">
        <f t="array" ref="BS24">INDEX(DAT!$C$63:$C$86,MATCH(100*MainTour!$A24+RIGHT(BD$1,1),100*DAT!$A$63:$A$86+DAT!$B$63:$B$86,0))</f>
        <v>2</v>
      </c>
      <c r="BT24">
        <f t="array" ref="BT24">INDEX(DAT!$C$63:$C$86,MATCH(100*MainTour!$A24+RIGHT(BE$1,1),100*DAT!$A$63:$A$86+DAT!$B$63:$B$86,0))</f>
        <v>2</v>
      </c>
      <c r="BU24">
        <f t="array" ref="BU24">INDEX(DAT!$C$63:$C$86,MATCH(100*MainTour!$A24+RIGHT(BF$1,1),100*DAT!$A$63:$A$86+DAT!$B$63:$B$86,0))</f>
        <v>2</v>
      </c>
      <c r="BW24">
        <f t="array" ref="BW24">INDEX(DAT!$C$92:$C$115,MATCH(100*MainTour!$A24+RIGHT(BC$1,1),100*DAT!$A$92:$A$115+DAT!$B$92:$B$115,0))</f>
        <v>5</v>
      </c>
      <c r="BX24">
        <f t="array" ref="BX24">INDEX(DAT!$C$92:$C$115,MATCH(100*MainTour!$A24+RIGHT(BD$1,1),100*DAT!$A$92:$A$115+DAT!$B$92:$B$115,0))</f>
        <v>5</v>
      </c>
      <c r="BY24">
        <f t="array" ref="BY24">INDEX(DAT!$C$92:$C$115,MATCH(100*MainTour!$A24+RIGHT(BE$1,1),100*DAT!$A$92:$A$115+DAT!$B$92:$B$115,0))</f>
        <v>5</v>
      </c>
      <c r="BZ24">
        <f t="array" ref="BZ24">INDEX(DAT!$C$92:$C$115,MATCH(100*MainTour!$A24+RIGHT(BF$1,1),100*DAT!$A$92:$A$115+DAT!$B$92:$B$115,0))</f>
        <v>5</v>
      </c>
      <c r="CB24" t="b">
        <f t="shared" si="18"/>
        <v>1</v>
      </c>
      <c r="CC24" t="b">
        <f t="shared" si="19"/>
        <v>1</v>
      </c>
      <c r="CD24" t="b">
        <f t="shared" si="20"/>
        <v>1</v>
      </c>
      <c r="CE24" t="b">
        <f t="shared" si="21"/>
        <v>1</v>
      </c>
      <c r="CG24">
        <f t="array" ref="CG24">INDEX(DAT!$C$476:$C$499,MATCH(100*MainTour!$A24+RIGHT(BC$1,1),100*DAT!$A$476:$A$499+DAT!$B$476:$B$499,0))/2</f>
        <v>8</v>
      </c>
      <c r="CH24">
        <f t="array" ref="CH24">INDEX(DAT!$C$476:$C$499,MATCH(100*MainTour!$A24+RIGHT(BD$1,1),100*DAT!$A$476:$A$499+DAT!$B$476:$B$499,0))/2</f>
        <v>16</v>
      </c>
      <c r="CI24">
        <f t="array" ref="CI24">INDEX(DAT!$C$476:$C$499,MATCH(100*MainTour!$A24+RIGHT(BE$1,1),100*DAT!$A$476:$A$499+DAT!$B$476:$B$499,0))/2</f>
        <v>24</v>
      </c>
      <c r="CJ24">
        <f t="array" ref="CJ24">INDEX(DAT!$C$476:$C$499,MATCH(100*MainTour!$A24+RIGHT(BF$1,1),100*DAT!$A$476:$A$499+DAT!$B$476:$B$499,0))/2</f>
        <v>32</v>
      </c>
      <c r="CL24">
        <f t="array" ref="CL24">INDEX(DAT!$C$506:$C$529,MATCH(100*MainTour!$A24+RIGHT(BC$1,1),100*DAT!$A$506:$A$529+DAT!$B$506:$B$529,0))/2</f>
        <v>32</v>
      </c>
      <c r="CM24">
        <f t="array" ref="CM24">INDEX(DAT!$C$506:$C$529,MATCH(100*MainTour!$A24+RIGHT(BD$1,1),100*DAT!$A$506:$A$529+DAT!$B$506:$B$529,0))/2</f>
        <v>64</v>
      </c>
      <c r="CN24">
        <f t="array" ref="CN24">INDEX(DAT!$C$506:$C$529,MATCH(100*MainTour!$A24+RIGHT(BE$1,1),100*DAT!$A$506:$A$529+DAT!$B$506:$B$529,0))/2</f>
        <v>96</v>
      </c>
      <c r="CO24">
        <f t="array" ref="CO24">INDEX(DAT!$C$506:$C$529,MATCH(100*MainTour!$A24+RIGHT(BF$1,1),100*DAT!$A$506:$A$529+DAT!$B$506:$B$529,0))/2</f>
        <v>128</v>
      </c>
      <c r="CQ24" t="b">
        <f t="shared" si="22"/>
        <v>1</v>
      </c>
      <c r="CR24" t="b">
        <f t="shared" si="23"/>
        <v>1</v>
      </c>
      <c r="CS24" t="b">
        <f t="shared" si="24"/>
        <v>1</v>
      </c>
      <c r="CT24" t="b">
        <f t="shared" si="25"/>
        <v>1</v>
      </c>
      <c r="CV24">
        <f t="array" ref="CV24">INDEX(DAT!$C$544:$C$567,MATCH(100*MainTour!$A24+RIGHT(BC$1,1),100*DAT!$A$544:$A$567+DAT!$B$544:$B$567,0))/2</f>
        <v>8</v>
      </c>
      <c r="CW24">
        <f t="array" ref="CW24">INDEX(DAT!$C$544:$C$567,MATCH(100*MainTour!$A24+RIGHT(BD$1,1),100*DAT!$A$544:$A$567+DAT!$B$544:$B$567,0))/2</f>
        <v>8</v>
      </c>
      <c r="CX24">
        <f t="array" ref="CX24">INDEX(DAT!$C$544:$C$567,MATCH(100*MainTour!$A24+RIGHT(BE$1,1),100*DAT!$A$544:$A$567+DAT!$B$544:$B$567,0))/2</f>
        <v>8</v>
      </c>
      <c r="CY24">
        <f t="array" ref="CY24">INDEX(DAT!$C$544:$C$567,MATCH(100*MainTour!$A24+RIGHT(BF$1,1),100*DAT!$A$544:$A$567+DAT!$B$544:$B$567,0))/2</f>
        <v>8</v>
      </c>
      <c r="DA24">
        <f t="array" ref="DA24">INDEX(DAT!$C$573:$C$596,MATCH(100*MainTour!$A24+RIGHT(BC$1,1),100*DAT!$A$573:$A$596+DAT!$B$573:$B$596,0))/2</f>
        <v>32</v>
      </c>
      <c r="DB24">
        <f t="array" ref="DB24">INDEX(DAT!$C$573:$C$596,MATCH(100*MainTour!$A24+RIGHT(BD$1,1),100*DAT!$A$573:$A$596+DAT!$B$573:$B$596,0))/2</f>
        <v>32</v>
      </c>
      <c r="DC24">
        <f t="array" ref="DC24">INDEX(DAT!$C$573:$C$596,MATCH(100*MainTour!$A24+RIGHT(BE$1,1),100*DAT!$A$573:$A$596+DAT!$B$573:$B$596,0))/2</f>
        <v>32</v>
      </c>
      <c r="DD24">
        <f t="array" ref="DD24">INDEX(DAT!$C$573:$C$596,MATCH(100*MainTour!$A24+RIGHT(BF$1,1),100*DAT!$A$573:$A$596+DAT!$B$573:$B$596,0))/2</f>
        <v>32</v>
      </c>
      <c r="DF24" t="b">
        <f t="shared" si="26"/>
        <v>1</v>
      </c>
      <c r="DG24" t="b">
        <f t="shared" si="27"/>
        <v>1</v>
      </c>
      <c r="DH24" t="b">
        <f t="shared" si="28"/>
        <v>1</v>
      </c>
      <c r="DI24" t="b">
        <f t="shared" si="29"/>
        <v>1</v>
      </c>
    </row>
    <row r="25" spans="1:113" x14ac:dyDescent="0.25">
      <c r="A25" s="2">
        <v>1</v>
      </c>
      <c r="B25" s="5" t="s">
        <v>45</v>
      </c>
      <c r="C25" s="2" t="s">
        <v>5</v>
      </c>
      <c r="D25" s="2" t="s">
        <v>5</v>
      </c>
      <c r="E25" s="2" t="s">
        <v>61</v>
      </c>
      <c r="F25" s="2" t="s">
        <v>5</v>
      </c>
      <c r="G25" s="2" t="s">
        <v>5</v>
      </c>
      <c r="H25" s="5" t="s">
        <v>5</v>
      </c>
      <c r="I25" s="5" t="s">
        <v>5</v>
      </c>
      <c r="J25" s="2" t="s">
        <v>62</v>
      </c>
      <c r="K25" s="2" t="s">
        <v>5</v>
      </c>
      <c r="L25" s="2" t="s">
        <v>5</v>
      </c>
      <c r="M25" s="2" t="s">
        <v>5</v>
      </c>
      <c r="N25" s="2" t="s">
        <v>5</v>
      </c>
      <c r="O25" s="5" t="s">
        <v>62</v>
      </c>
      <c r="P25" s="5" t="s">
        <v>61</v>
      </c>
      <c r="Q25" s="2" t="s">
        <v>5</v>
      </c>
      <c r="R25" s="2" t="s">
        <v>5</v>
      </c>
      <c r="S25" s="2" t="s">
        <v>61</v>
      </c>
      <c r="T25" s="2" t="s">
        <v>5</v>
      </c>
      <c r="U25" s="2" t="s">
        <v>5</v>
      </c>
      <c r="V25" s="5" t="s">
        <v>5</v>
      </c>
      <c r="W25" s="5" t="s">
        <v>5</v>
      </c>
      <c r="X25" s="2" t="s">
        <v>5</v>
      </c>
      <c r="Y25" s="2" t="s">
        <v>5</v>
      </c>
      <c r="Z25" s="2" t="s">
        <v>5</v>
      </c>
      <c r="AA25" s="2" t="s">
        <v>61</v>
      </c>
      <c r="AB25" s="2" t="s">
        <v>5</v>
      </c>
      <c r="AC25" s="5" t="s">
        <v>61</v>
      </c>
      <c r="AE25">
        <f t="shared" si="2"/>
        <v>2</v>
      </c>
      <c r="AF25">
        <f t="shared" si="3"/>
        <v>8</v>
      </c>
      <c r="AG25">
        <f t="shared" si="4"/>
        <v>2</v>
      </c>
      <c r="AH25">
        <f t="shared" si="5"/>
        <v>2</v>
      </c>
      <c r="AI25">
        <f t="shared" si="6"/>
        <v>2</v>
      </c>
      <c r="AJ25">
        <f t="shared" si="7"/>
        <v>2</v>
      </c>
      <c r="AK25">
        <f t="shared" si="8"/>
        <v>40</v>
      </c>
      <c r="AL25">
        <f t="shared" si="9"/>
        <v>8</v>
      </c>
      <c r="AM25">
        <f t="shared" si="10"/>
        <v>16</v>
      </c>
      <c r="AN25">
        <f t="shared" si="11"/>
        <v>8</v>
      </c>
      <c r="AO25">
        <f t="shared" si="12"/>
        <v>8</v>
      </c>
      <c r="AQ25">
        <f t="shared" si="13"/>
        <v>4</v>
      </c>
      <c r="AS25">
        <f>SUM($AG25:AG25)</f>
        <v>2</v>
      </c>
      <c r="AT25">
        <f>SUM($AG25:AH25)</f>
        <v>4</v>
      </c>
      <c r="AU25">
        <f>SUM($AG25:AI25)</f>
        <v>6</v>
      </c>
      <c r="AV25">
        <f>SUM($AG25:AJ25)</f>
        <v>8</v>
      </c>
      <c r="AX25">
        <f>SUM($AL25:AL25)</f>
        <v>8</v>
      </c>
      <c r="AY25">
        <f>SUM($AL25:AM25)</f>
        <v>24</v>
      </c>
      <c r="AZ25">
        <f>SUM($AL25:AN25)</f>
        <v>32</v>
      </c>
      <c r="BA25">
        <f>SUM($AL25:AO25)</f>
        <v>40</v>
      </c>
      <c r="BC25">
        <f t="array" ref="BC25">INDEX(DAT!$C$3:$C$26,MATCH(100*MainTour!$A25+RIGHT(BC$1,1),100*DAT!$A$3:$A$26+DAT!$B$3:$B$26,0))</f>
        <v>2</v>
      </c>
      <c r="BD25">
        <f t="array" ref="BD25">INDEX(DAT!$C$3:$C$26,MATCH(100*MainTour!$A25+RIGHT(BD$1,1),100*DAT!$A$3:$A$26+DAT!$B$3:$B$26,0))</f>
        <v>4</v>
      </c>
      <c r="BE25">
        <f t="array" ref="BE25">INDEX(DAT!$C$3:$C$26,MATCH(100*MainTour!$A25+RIGHT(BE$1,1),100*DAT!$A$3:$A$26+DAT!$B$3:$B$26,0))</f>
        <v>6</v>
      </c>
      <c r="BF25">
        <f t="array" ref="BF25">INDEX(DAT!$C$3:$C$26,MATCH(100*MainTour!$A25+RIGHT(BF$1,1),100*DAT!$A$3:$A$26+DAT!$B$3:$B$26,0))</f>
        <v>8</v>
      </c>
      <c r="BH25">
        <f t="array" ref="BH25">INDEX(DAT!$C$34:$C$57,MATCH(100*MainTour!$A25+RIGHT(BC$1,1),100*DAT!$A$34:$A$57+DAT!$B$34:$B$57,0))</f>
        <v>5</v>
      </c>
      <c r="BI25">
        <f t="array" ref="BI25">INDEX(DAT!$C$34:$C$57,MATCH(100*MainTour!$A25+RIGHT(BD$1,1),100*DAT!$A$34:$A$57+DAT!$B$34:$B$57,0))</f>
        <v>10</v>
      </c>
      <c r="BJ25">
        <f t="array" ref="BJ25">INDEX(DAT!$C$34:$C$57,MATCH(100*MainTour!$A25+RIGHT(BE$1,1),100*DAT!$A$34:$A$57+DAT!$B$34:$B$57,0))</f>
        <v>15</v>
      </c>
      <c r="BK25">
        <f t="array" ref="BK25">INDEX(DAT!$C$34:$C$57,MATCH(100*MainTour!$A25+RIGHT(BF$1,1),100*DAT!$A$34:$A$57+DAT!$B$34:$B$57,0))</f>
        <v>20</v>
      </c>
      <c r="BM25" t="b">
        <f t="shared" si="14"/>
        <v>1</v>
      </c>
      <c r="BN25" t="b">
        <f t="shared" si="15"/>
        <v>1</v>
      </c>
      <c r="BO25" t="b">
        <f t="shared" si="16"/>
        <v>1</v>
      </c>
      <c r="BP25" t="b">
        <f t="shared" si="17"/>
        <v>1</v>
      </c>
      <c r="BR25">
        <f t="array" ref="BR25">INDEX(DAT!$C$63:$C$86,MATCH(100*MainTour!$A25+RIGHT(BC$1,1),100*DAT!$A$63:$A$86+DAT!$B$63:$B$86,0))</f>
        <v>2</v>
      </c>
      <c r="BS25">
        <f t="array" ref="BS25">INDEX(DAT!$C$63:$C$86,MATCH(100*MainTour!$A25+RIGHT(BD$1,1),100*DAT!$A$63:$A$86+DAT!$B$63:$B$86,0))</f>
        <v>2</v>
      </c>
      <c r="BT25">
        <f t="array" ref="BT25">INDEX(DAT!$C$63:$C$86,MATCH(100*MainTour!$A25+RIGHT(BE$1,1),100*DAT!$A$63:$A$86+DAT!$B$63:$B$86,0))</f>
        <v>2</v>
      </c>
      <c r="BU25">
        <f t="array" ref="BU25">INDEX(DAT!$C$63:$C$86,MATCH(100*MainTour!$A25+RIGHT(BF$1,1),100*DAT!$A$63:$A$86+DAT!$B$63:$B$86,0))</f>
        <v>2</v>
      </c>
      <c r="BW25">
        <f t="array" ref="BW25">INDEX(DAT!$C$92:$C$115,MATCH(100*MainTour!$A25+RIGHT(BC$1,1),100*DAT!$A$92:$A$115+DAT!$B$92:$B$115,0))</f>
        <v>5</v>
      </c>
      <c r="BX25">
        <f t="array" ref="BX25">INDEX(DAT!$C$92:$C$115,MATCH(100*MainTour!$A25+RIGHT(BD$1,1),100*DAT!$A$92:$A$115+DAT!$B$92:$B$115,0))</f>
        <v>5</v>
      </c>
      <c r="BY25">
        <f t="array" ref="BY25">INDEX(DAT!$C$92:$C$115,MATCH(100*MainTour!$A25+RIGHT(BE$1,1),100*DAT!$A$92:$A$115+DAT!$B$92:$B$115,0))</f>
        <v>5</v>
      </c>
      <c r="BZ25">
        <f t="array" ref="BZ25">INDEX(DAT!$C$92:$C$115,MATCH(100*MainTour!$A25+RIGHT(BF$1,1),100*DAT!$A$92:$A$115+DAT!$B$92:$B$115,0))</f>
        <v>5</v>
      </c>
      <c r="CB25" t="b">
        <f t="shared" si="18"/>
        <v>1</v>
      </c>
      <c r="CC25" t="b">
        <f t="shared" si="19"/>
        <v>1</v>
      </c>
      <c r="CD25" t="b">
        <f t="shared" si="20"/>
        <v>1</v>
      </c>
      <c r="CE25" t="b">
        <f t="shared" si="21"/>
        <v>1</v>
      </c>
      <c r="CG25">
        <f t="array" ref="CG25">INDEX(DAT!$C$476:$C$499,MATCH(100*MainTour!$A25+RIGHT(BC$1,1),100*DAT!$A$476:$A$499+DAT!$B$476:$B$499,0))/2</f>
        <v>8</v>
      </c>
      <c r="CH25">
        <f t="array" ref="CH25">INDEX(DAT!$C$476:$C$499,MATCH(100*MainTour!$A25+RIGHT(BD$1,1),100*DAT!$A$476:$A$499+DAT!$B$476:$B$499,0))/2</f>
        <v>16</v>
      </c>
      <c r="CI25">
        <f t="array" ref="CI25">INDEX(DAT!$C$476:$C$499,MATCH(100*MainTour!$A25+RIGHT(BE$1,1),100*DAT!$A$476:$A$499+DAT!$B$476:$B$499,0))/2</f>
        <v>24</v>
      </c>
      <c r="CJ25">
        <f t="array" ref="CJ25">INDEX(DAT!$C$476:$C$499,MATCH(100*MainTour!$A25+RIGHT(BF$1,1),100*DAT!$A$476:$A$499+DAT!$B$476:$B$499,0))/2</f>
        <v>32</v>
      </c>
      <c r="CL25">
        <f t="array" ref="CL25">INDEX(DAT!$C$506:$C$529,MATCH(100*MainTour!$A25+RIGHT(BC$1,1),100*DAT!$A$506:$A$529+DAT!$B$506:$B$529,0))/2</f>
        <v>32</v>
      </c>
      <c r="CM25">
        <f t="array" ref="CM25">INDEX(DAT!$C$506:$C$529,MATCH(100*MainTour!$A25+RIGHT(BD$1,1),100*DAT!$A$506:$A$529+DAT!$B$506:$B$529,0))/2</f>
        <v>64</v>
      </c>
      <c r="CN25">
        <f t="array" ref="CN25">INDEX(DAT!$C$506:$C$529,MATCH(100*MainTour!$A25+RIGHT(BE$1,1),100*DAT!$A$506:$A$529+DAT!$B$506:$B$529,0))/2</f>
        <v>96</v>
      </c>
      <c r="CO25">
        <f t="array" ref="CO25">INDEX(DAT!$C$506:$C$529,MATCH(100*MainTour!$A25+RIGHT(BF$1,1),100*DAT!$A$506:$A$529+DAT!$B$506:$B$529,0))/2</f>
        <v>128</v>
      </c>
      <c r="CQ25" t="b">
        <f t="shared" si="22"/>
        <v>1</v>
      </c>
      <c r="CR25" t="b">
        <f t="shared" si="23"/>
        <v>1</v>
      </c>
      <c r="CS25" t="b">
        <f t="shared" si="24"/>
        <v>1</v>
      </c>
      <c r="CT25" t="b">
        <f t="shared" si="25"/>
        <v>1</v>
      </c>
      <c r="CV25">
        <f t="array" ref="CV25">INDEX(DAT!$C$544:$C$567,MATCH(100*MainTour!$A25+RIGHT(BC$1,1),100*DAT!$A$544:$A$567+DAT!$B$544:$B$567,0))/2</f>
        <v>8</v>
      </c>
      <c r="CW25">
        <f t="array" ref="CW25">INDEX(DAT!$C$544:$C$567,MATCH(100*MainTour!$A25+RIGHT(BD$1,1),100*DAT!$A$544:$A$567+DAT!$B$544:$B$567,0))/2</f>
        <v>8</v>
      </c>
      <c r="CX25">
        <f t="array" ref="CX25">INDEX(DAT!$C$544:$C$567,MATCH(100*MainTour!$A25+RIGHT(BE$1,1),100*DAT!$A$544:$A$567+DAT!$B$544:$B$567,0))/2</f>
        <v>8</v>
      </c>
      <c r="CY25">
        <f t="array" ref="CY25">INDEX(DAT!$C$544:$C$567,MATCH(100*MainTour!$A25+RIGHT(BF$1,1),100*DAT!$A$544:$A$567+DAT!$B$544:$B$567,0))/2</f>
        <v>8</v>
      </c>
      <c r="DA25">
        <f t="array" ref="DA25">INDEX(DAT!$C$573:$C$596,MATCH(100*MainTour!$A25+RIGHT(BC$1,1),100*DAT!$A$573:$A$596+DAT!$B$573:$B$596,0))/2</f>
        <v>32</v>
      </c>
      <c r="DB25">
        <f t="array" ref="DB25">INDEX(DAT!$C$573:$C$596,MATCH(100*MainTour!$A25+RIGHT(BD$1,1),100*DAT!$A$573:$A$596+DAT!$B$573:$B$596,0))/2</f>
        <v>32</v>
      </c>
      <c r="DC25">
        <f t="array" ref="DC25">INDEX(DAT!$C$573:$C$596,MATCH(100*MainTour!$A25+RIGHT(BE$1,1),100*DAT!$A$573:$A$596+DAT!$B$573:$B$596,0))/2</f>
        <v>32</v>
      </c>
      <c r="DD25">
        <f t="array" ref="DD25">INDEX(DAT!$C$573:$C$596,MATCH(100*MainTour!$A25+RIGHT(BF$1,1),100*DAT!$A$573:$A$596+DAT!$B$573:$B$596,0))/2</f>
        <v>32</v>
      </c>
      <c r="DF25" t="b">
        <f t="shared" si="26"/>
        <v>1</v>
      </c>
      <c r="DG25" t="b">
        <f t="shared" si="27"/>
        <v>1</v>
      </c>
      <c r="DH25" t="b">
        <f t="shared" si="28"/>
        <v>1</v>
      </c>
      <c r="DI25" t="b">
        <f t="shared" si="29"/>
        <v>1</v>
      </c>
    </row>
    <row r="26" spans="1:113" x14ac:dyDescent="0.25">
      <c r="A26" s="2">
        <v>1</v>
      </c>
      <c r="B26" s="5" t="s">
        <v>1</v>
      </c>
      <c r="C26" s="2" t="s">
        <v>5</v>
      </c>
      <c r="D26" s="2" t="s">
        <v>5</v>
      </c>
      <c r="E26" s="2" t="s">
        <v>5</v>
      </c>
      <c r="F26" s="2" t="s">
        <v>61</v>
      </c>
      <c r="G26" s="2" t="s">
        <v>61</v>
      </c>
      <c r="H26" s="5" t="s">
        <v>5</v>
      </c>
      <c r="I26" s="5" t="s">
        <v>5</v>
      </c>
      <c r="J26" s="2" t="s">
        <v>5</v>
      </c>
      <c r="K26" s="2" t="s">
        <v>5</v>
      </c>
      <c r="L26" s="2" t="s">
        <v>61</v>
      </c>
      <c r="M26" s="2" t="s">
        <v>5</v>
      </c>
      <c r="N26" s="2" t="s">
        <v>61</v>
      </c>
      <c r="O26" s="5" t="s">
        <v>5</v>
      </c>
      <c r="P26" s="5" t="s">
        <v>5</v>
      </c>
      <c r="Q26" s="2" t="s">
        <v>5</v>
      </c>
      <c r="R26" s="2" t="s">
        <v>61</v>
      </c>
      <c r="S26" s="2" t="s">
        <v>5</v>
      </c>
      <c r="T26" s="2" t="s">
        <v>61</v>
      </c>
      <c r="U26" s="2" t="s">
        <v>5</v>
      </c>
      <c r="V26" s="5" t="s">
        <v>5</v>
      </c>
      <c r="W26" s="5" t="s">
        <v>5</v>
      </c>
      <c r="X26" s="2" t="s">
        <v>5</v>
      </c>
      <c r="Y26" s="2" t="s">
        <v>5</v>
      </c>
      <c r="Z26" s="2" t="s">
        <v>5</v>
      </c>
      <c r="AA26" s="2" t="s">
        <v>61</v>
      </c>
      <c r="AB26" s="2" t="s">
        <v>61</v>
      </c>
      <c r="AC26" s="5" t="s">
        <v>5</v>
      </c>
      <c r="AE26">
        <f t="shared" si="2"/>
        <v>2</v>
      </c>
      <c r="AF26">
        <f t="shared" si="3"/>
        <v>8</v>
      </c>
      <c r="AG26">
        <f t="shared" si="4"/>
        <v>2</v>
      </c>
      <c r="AH26">
        <f t="shared" si="5"/>
        <v>2</v>
      </c>
      <c r="AI26">
        <f t="shared" si="6"/>
        <v>2</v>
      </c>
      <c r="AJ26">
        <f t="shared" si="7"/>
        <v>2</v>
      </c>
      <c r="AK26">
        <f t="shared" si="8"/>
        <v>32</v>
      </c>
      <c r="AL26">
        <f t="shared" si="9"/>
        <v>8</v>
      </c>
      <c r="AM26">
        <f t="shared" si="10"/>
        <v>8</v>
      </c>
      <c r="AN26">
        <f t="shared" si="11"/>
        <v>8</v>
      </c>
      <c r="AO26">
        <f t="shared" si="12"/>
        <v>8</v>
      </c>
      <c r="AQ26">
        <f t="shared" si="13"/>
        <v>0</v>
      </c>
      <c r="AS26">
        <f>SUM($AG26:AG26)</f>
        <v>2</v>
      </c>
      <c r="AT26">
        <f>SUM($AG26:AH26)</f>
        <v>4</v>
      </c>
      <c r="AU26">
        <f>SUM($AG26:AI26)</f>
        <v>6</v>
      </c>
      <c r="AV26">
        <f>SUM($AG26:AJ26)</f>
        <v>8</v>
      </c>
      <c r="AX26">
        <f>SUM($AL26:AL26)</f>
        <v>8</v>
      </c>
      <c r="AY26">
        <f>SUM($AL26:AM26)</f>
        <v>16</v>
      </c>
      <c r="AZ26">
        <f>SUM($AL26:AN26)</f>
        <v>24</v>
      </c>
      <c r="BA26">
        <f>SUM($AL26:AO26)</f>
        <v>32</v>
      </c>
      <c r="BC26">
        <f t="array" ref="BC26">INDEX(DAT!$C$3:$C$26,MATCH(100*MainTour!$A26+RIGHT(BC$1,1),100*DAT!$A$3:$A$26+DAT!$B$3:$B$26,0))</f>
        <v>2</v>
      </c>
      <c r="BD26">
        <f t="array" ref="BD26">INDEX(DAT!$C$3:$C$26,MATCH(100*MainTour!$A26+RIGHT(BD$1,1),100*DAT!$A$3:$A$26+DAT!$B$3:$B$26,0))</f>
        <v>4</v>
      </c>
      <c r="BE26">
        <f t="array" ref="BE26">INDEX(DAT!$C$3:$C$26,MATCH(100*MainTour!$A26+RIGHT(BE$1,1),100*DAT!$A$3:$A$26+DAT!$B$3:$B$26,0))</f>
        <v>6</v>
      </c>
      <c r="BF26">
        <f t="array" ref="BF26">INDEX(DAT!$C$3:$C$26,MATCH(100*MainTour!$A26+RIGHT(BF$1,1),100*DAT!$A$3:$A$26+DAT!$B$3:$B$26,0))</f>
        <v>8</v>
      </c>
      <c r="BH26">
        <f t="array" ref="BH26">INDEX(DAT!$C$34:$C$57,MATCH(100*MainTour!$A26+RIGHT(BC$1,1),100*DAT!$A$34:$A$57+DAT!$B$34:$B$57,0))</f>
        <v>5</v>
      </c>
      <c r="BI26">
        <f t="array" ref="BI26">INDEX(DAT!$C$34:$C$57,MATCH(100*MainTour!$A26+RIGHT(BD$1,1),100*DAT!$A$34:$A$57+DAT!$B$34:$B$57,0))</f>
        <v>10</v>
      </c>
      <c r="BJ26">
        <f t="array" ref="BJ26">INDEX(DAT!$C$34:$C$57,MATCH(100*MainTour!$A26+RIGHT(BE$1,1),100*DAT!$A$34:$A$57+DAT!$B$34:$B$57,0))</f>
        <v>15</v>
      </c>
      <c r="BK26">
        <f t="array" ref="BK26">INDEX(DAT!$C$34:$C$57,MATCH(100*MainTour!$A26+RIGHT(BF$1,1),100*DAT!$A$34:$A$57+DAT!$B$34:$B$57,0))</f>
        <v>20</v>
      </c>
      <c r="BM26" t="b">
        <f t="shared" si="14"/>
        <v>1</v>
      </c>
      <c r="BN26" t="b">
        <f t="shared" si="15"/>
        <v>1</v>
      </c>
      <c r="BO26" t="b">
        <f t="shared" si="16"/>
        <v>1</v>
      </c>
      <c r="BP26" t="b">
        <f t="shared" si="17"/>
        <v>1</v>
      </c>
      <c r="BR26">
        <f t="array" ref="BR26">INDEX(DAT!$C$63:$C$86,MATCH(100*MainTour!$A26+RIGHT(BC$1,1),100*DAT!$A$63:$A$86+DAT!$B$63:$B$86,0))</f>
        <v>2</v>
      </c>
      <c r="BS26">
        <f t="array" ref="BS26">INDEX(DAT!$C$63:$C$86,MATCH(100*MainTour!$A26+RIGHT(BD$1,1),100*DAT!$A$63:$A$86+DAT!$B$63:$B$86,0))</f>
        <v>2</v>
      </c>
      <c r="BT26">
        <f t="array" ref="BT26">INDEX(DAT!$C$63:$C$86,MATCH(100*MainTour!$A26+RIGHT(BE$1,1),100*DAT!$A$63:$A$86+DAT!$B$63:$B$86,0))</f>
        <v>2</v>
      </c>
      <c r="BU26">
        <f t="array" ref="BU26">INDEX(DAT!$C$63:$C$86,MATCH(100*MainTour!$A26+RIGHT(BF$1,1),100*DAT!$A$63:$A$86+DAT!$B$63:$B$86,0))</f>
        <v>2</v>
      </c>
      <c r="BW26">
        <f t="array" ref="BW26">INDEX(DAT!$C$92:$C$115,MATCH(100*MainTour!$A26+RIGHT(BC$1,1),100*DAT!$A$92:$A$115+DAT!$B$92:$B$115,0))</f>
        <v>5</v>
      </c>
      <c r="BX26">
        <f t="array" ref="BX26">INDEX(DAT!$C$92:$C$115,MATCH(100*MainTour!$A26+RIGHT(BD$1,1),100*DAT!$A$92:$A$115+DAT!$B$92:$B$115,0))</f>
        <v>5</v>
      </c>
      <c r="BY26">
        <f t="array" ref="BY26">INDEX(DAT!$C$92:$C$115,MATCH(100*MainTour!$A26+RIGHT(BE$1,1),100*DAT!$A$92:$A$115+DAT!$B$92:$B$115,0))</f>
        <v>5</v>
      </c>
      <c r="BZ26">
        <f t="array" ref="BZ26">INDEX(DAT!$C$92:$C$115,MATCH(100*MainTour!$A26+RIGHT(BF$1,1),100*DAT!$A$92:$A$115+DAT!$B$92:$B$115,0))</f>
        <v>5</v>
      </c>
      <c r="CB26" t="b">
        <f t="shared" si="18"/>
        <v>1</v>
      </c>
      <c r="CC26" t="b">
        <f t="shared" si="19"/>
        <v>1</v>
      </c>
      <c r="CD26" t="b">
        <f t="shared" si="20"/>
        <v>1</v>
      </c>
      <c r="CE26" t="b">
        <f t="shared" si="21"/>
        <v>1</v>
      </c>
      <c r="CG26">
        <f t="array" ref="CG26">INDEX(DAT!$C$476:$C$499,MATCH(100*MainTour!$A26+RIGHT(BC$1,1),100*DAT!$A$476:$A$499+DAT!$B$476:$B$499,0))/2</f>
        <v>8</v>
      </c>
      <c r="CH26">
        <f t="array" ref="CH26">INDEX(DAT!$C$476:$C$499,MATCH(100*MainTour!$A26+RIGHT(BD$1,1),100*DAT!$A$476:$A$499+DAT!$B$476:$B$499,0))/2</f>
        <v>16</v>
      </c>
      <c r="CI26">
        <f t="array" ref="CI26">INDEX(DAT!$C$476:$C$499,MATCH(100*MainTour!$A26+RIGHT(BE$1,1),100*DAT!$A$476:$A$499+DAT!$B$476:$B$499,0))/2</f>
        <v>24</v>
      </c>
      <c r="CJ26">
        <f t="array" ref="CJ26">INDEX(DAT!$C$476:$C$499,MATCH(100*MainTour!$A26+RIGHT(BF$1,1),100*DAT!$A$476:$A$499+DAT!$B$476:$B$499,0))/2</f>
        <v>32</v>
      </c>
      <c r="CL26">
        <f t="array" ref="CL26">INDEX(DAT!$C$506:$C$529,MATCH(100*MainTour!$A26+RIGHT(BC$1,1),100*DAT!$A$506:$A$529+DAT!$B$506:$B$529,0))/2</f>
        <v>32</v>
      </c>
      <c r="CM26">
        <f t="array" ref="CM26">INDEX(DAT!$C$506:$C$529,MATCH(100*MainTour!$A26+RIGHT(BD$1,1),100*DAT!$A$506:$A$529+DAT!$B$506:$B$529,0))/2</f>
        <v>64</v>
      </c>
      <c r="CN26">
        <f t="array" ref="CN26">INDEX(DAT!$C$506:$C$529,MATCH(100*MainTour!$A26+RIGHT(BE$1,1),100*DAT!$A$506:$A$529+DAT!$B$506:$B$529,0))/2</f>
        <v>96</v>
      </c>
      <c r="CO26">
        <f t="array" ref="CO26">INDEX(DAT!$C$506:$C$529,MATCH(100*MainTour!$A26+RIGHT(BF$1,1),100*DAT!$A$506:$A$529+DAT!$B$506:$B$529,0))/2</f>
        <v>128</v>
      </c>
      <c r="CQ26" t="b">
        <f t="shared" si="22"/>
        <v>1</v>
      </c>
      <c r="CR26" t="b">
        <f t="shared" si="23"/>
        <v>1</v>
      </c>
      <c r="CS26" t="b">
        <f t="shared" si="24"/>
        <v>1</v>
      </c>
      <c r="CT26" t="b">
        <f t="shared" si="25"/>
        <v>1</v>
      </c>
      <c r="CV26">
        <f t="array" ref="CV26">INDEX(DAT!$C$544:$C$567,MATCH(100*MainTour!$A26+RIGHT(BC$1,1),100*DAT!$A$544:$A$567+DAT!$B$544:$B$567,0))/2</f>
        <v>8</v>
      </c>
      <c r="CW26">
        <f t="array" ref="CW26">INDEX(DAT!$C$544:$C$567,MATCH(100*MainTour!$A26+RIGHT(BD$1,1),100*DAT!$A$544:$A$567+DAT!$B$544:$B$567,0))/2</f>
        <v>8</v>
      </c>
      <c r="CX26">
        <f t="array" ref="CX26">INDEX(DAT!$C$544:$C$567,MATCH(100*MainTour!$A26+RIGHT(BE$1,1),100*DAT!$A$544:$A$567+DAT!$B$544:$B$567,0))/2</f>
        <v>8</v>
      </c>
      <c r="CY26">
        <f t="array" ref="CY26">INDEX(DAT!$C$544:$C$567,MATCH(100*MainTour!$A26+RIGHT(BF$1,1),100*DAT!$A$544:$A$567+DAT!$B$544:$B$567,0))/2</f>
        <v>8</v>
      </c>
      <c r="DA26">
        <f t="array" ref="DA26">INDEX(DAT!$C$573:$C$596,MATCH(100*MainTour!$A26+RIGHT(BC$1,1),100*DAT!$A$573:$A$596+DAT!$B$573:$B$596,0))/2</f>
        <v>32</v>
      </c>
      <c r="DB26">
        <f t="array" ref="DB26">INDEX(DAT!$C$573:$C$596,MATCH(100*MainTour!$A26+RIGHT(BD$1,1),100*DAT!$A$573:$A$596+DAT!$B$573:$B$596,0))/2</f>
        <v>32</v>
      </c>
      <c r="DC26">
        <f t="array" ref="DC26">INDEX(DAT!$C$573:$C$596,MATCH(100*MainTour!$A26+RIGHT(BE$1,1),100*DAT!$A$573:$A$596+DAT!$B$573:$B$596,0))/2</f>
        <v>32</v>
      </c>
      <c r="DD26">
        <f t="array" ref="DD26">INDEX(DAT!$C$573:$C$596,MATCH(100*MainTour!$A26+RIGHT(BF$1,1),100*DAT!$A$573:$A$596+DAT!$B$573:$B$596,0))/2</f>
        <v>32</v>
      </c>
      <c r="DF26" t="b">
        <f t="shared" si="26"/>
        <v>1</v>
      </c>
      <c r="DG26" t="b">
        <f t="shared" si="27"/>
        <v>1</v>
      </c>
      <c r="DH26" t="b">
        <f t="shared" si="28"/>
        <v>1</v>
      </c>
      <c r="DI26" t="b">
        <f t="shared" si="29"/>
        <v>1</v>
      </c>
    </row>
    <row r="27" spans="1:113" x14ac:dyDescent="0.25">
      <c r="A27" s="2">
        <v>1</v>
      </c>
      <c r="B27" s="5" t="s">
        <v>1</v>
      </c>
      <c r="C27" s="2" t="s">
        <v>5</v>
      </c>
      <c r="D27" s="2" t="s">
        <v>63</v>
      </c>
      <c r="E27" s="2" t="s">
        <v>63</v>
      </c>
      <c r="F27" s="2" t="s">
        <v>5</v>
      </c>
      <c r="G27" s="2" t="s">
        <v>5</v>
      </c>
      <c r="H27" s="5" t="s">
        <v>5</v>
      </c>
      <c r="I27" s="5" t="s">
        <v>5</v>
      </c>
      <c r="J27" s="2" t="s">
        <v>63</v>
      </c>
      <c r="K27" s="2" t="s">
        <v>5</v>
      </c>
      <c r="L27" s="2" t="s">
        <v>5</v>
      </c>
      <c r="M27" s="2" t="s">
        <v>63</v>
      </c>
      <c r="N27" s="2" t="s">
        <v>5</v>
      </c>
      <c r="O27" s="5" t="s">
        <v>5</v>
      </c>
      <c r="P27" s="5" t="s">
        <v>5</v>
      </c>
      <c r="Q27" s="2" t="s">
        <v>63</v>
      </c>
      <c r="R27" s="2" t="s">
        <v>63</v>
      </c>
      <c r="S27" s="2" t="s">
        <v>5</v>
      </c>
      <c r="T27" s="2" t="s">
        <v>5</v>
      </c>
      <c r="U27" s="2" t="s">
        <v>5</v>
      </c>
      <c r="V27" s="5" t="s">
        <v>5</v>
      </c>
      <c r="W27" s="5" t="s">
        <v>5</v>
      </c>
      <c r="X27" s="2" t="s">
        <v>63</v>
      </c>
      <c r="Y27" s="2" t="s">
        <v>5</v>
      </c>
      <c r="Z27" s="2" t="s">
        <v>5</v>
      </c>
      <c r="AA27" s="2" t="s">
        <v>63</v>
      </c>
      <c r="AB27" s="2" t="s">
        <v>5</v>
      </c>
      <c r="AC27" s="5" t="s">
        <v>5</v>
      </c>
      <c r="AE27">
        <f t="shared" si="2"/>
        <v>2</v>
      </c>
      <c r="AF27">
        <f t="shared" si="3"/>
        <v>8</v>
      </c>
      <c r="AG27">
        <f t="shared" si="4"/>
        <v>2</v>
      </c>
      <c r="AH27">
        <f t="shared" si="5"/>
        <v>2</v>
      </c>
      <c r="AI27">
        <f t="shared" si="6"/>
        <v>2</v>
      </c>
      <c r="AJ27">
        <f t="shared" si="7"/>
        <v>2</v>
      </c>
      <c r="AK27">
        <f t="shared" si="8"/>
        <v>32</v>
      </c>
      <c r="AL27">
        <f t="shared" si="9"/>
        <v>8</v>
      </c>
      <c r="AM27">
        <f t="shared" si="10"/>
        <v>8</v>
      </c>
      <c r="AN27">
        <f t="shared" si="11"/>
        <v>8</v>
      </c>
      <c r="AO27">
        <f t="shared" si="12"/>
        <v>8</v>
      </c>
      <c r="AQ27">
        <f t="shared" si="13"/>
        <v>0</v>
      </c>
      <c r="AS27">
        <f>SUM($AG27:AG27)</f>
        <v>2</v>
      </c>
      <c r="AT27">
        <f>SUM($AG27:AH27)</f>
        <v>4</v>
      </c>
      <c r="AU27">
        <f>SUM($AG27:AI27)</f>
        <v>6</v>
      </c>
      <c r="AV27">
        <f>SUM($AG27:AJ27)</f>
        <v>8</v>
      </c>
      <c r="AX27">
        <f>SUM($AL27:AL27)</f>
        <v>8</v>
      </c>
      <c r="AY27">
        <f>SUM($AL27:AM27)</f>
        <v>16</v>
      </c>
      <c r="AZ27">
        <f>SUM($AL27:AN27)</f>
        <v>24</v>
      </c>
      <c r="BA27">
        <f>SUM($AL27:AO27)</f>
        <v>32</v>
      </c>
      <c r="BC27">
        <f t="array" ref="BC27">INDEX(DAT!$C$3:$C$26,MATCH(100*MainTour!$A27+RIGHT(BC$1,1),100*DAT!$A$3:$A$26+DAT!$B$3:$B$26,0))</f>
        <v>2</v>
      </c>
      <c r="BD27">
        <f t="array" ref="BD27">INDEX(DAT!$C$3:$C$26,MATCH(100*MainTour!$A27+RIGHT(BD$1,1),100*DAT!$A$3:$A$26+DAT!$B$3:$B$26,0))</f>
        <v>4</v>
      </c>
      <c r="BE27">
        <f t="array" ref="BE27">INDEX(DAT!$C$3:$C$26,MATCH(100*MainTour!$A27+RIGHT(BE$1,1),100*DAT!$A$3:$A$26+DAT!$B$3:$B$26,0))</f>
        <v>6</v>
      </c>
      <c r="BF27">
        <f t="array" ref="BF27">INDEX(DAT!$C$3:$C$26,MATCH(100*MainTour!$A27+RIGHT(BF$1,1),100*DAT!$A$3:$A$26+DAT!$B$3:$B$26,0))</f>
        <v>8</v>
      </c>
      <c r="BH27">
        <f t="array" ref="BH27">INDEX(DAT!$C$34:$C$57,MATCH(100*MainTour!$A27+RIGHT(BC$1,1),100*DAT!$A$34:$A$57+DAT!$B$34:$B$57,0))</f>
        <v>5</v>
      </c>
      <c r="BI27">
        <f t="array" ref="BI27">INDEX(DAT!$C$34:$C$57,MATCH(100*MainTour!$A27+RIGHT(BD$1,1),100*DAT!$A$34:$A$57+DAT!$B$34:$B$57,0))</f>
        <v>10</v>
      </c>
      <c r="BJ27">
        <f t="array" ref="BJ27">INDEX(DAT!$C$34:$C$57,MATCH(100*MainTour!$A27+RIGHT(BE$1,1),100*DAT!$A$34:$A$57+DAT!$B$34:$B$57,0))</f>
        <v>15</v>
      </c>
      <c r="BK27">
        <f t="array" ref="BK27">INDEX(DAT!$C$34:$C$57,MATCH(100*MainTour!$A27+RIGHT(BF$1,1),100*DAT!$A$34:$A$57+DAT!$B$34:$B$57,0))</f>
        <v>20</v>
      </c>
      <c r="BM27" t="b">
        <f t="shared" si="14"/>
        <v>1</v>
      </c>
      <c r="BN27" t="b">
        <f t="shared" si="15"/>
        <v>1</v>
      </c>
      <c r="BO27" t="b">
        <f t="shared" si="16"/>
        <v>1</v>
      </c>
      <c r="BP27" t="b">
        <f t="shared" si="17"/>
        <v>1</v>
      </c>
      <c r="BR27">
        <f t="array" ref="BR27">INDEX(DAT!$C$63:$C$86,MATCH(100*MainTour!$A27+RIGHT(BC$1,1),100*DAT!$A$63:$A$86+DAT!$B$63:$B$86,0))</f>
        <v>2</v>
      </c>
      <c r="BS27">
        <f t="array" ref="BS27">INDEX(DAT!$C$63:$C$86,MATCH(100*MainTour!$A27+RIGHT(BD$1,1),100*DAT!$A$63:$A$86+DAT!$B$63:$B$86,0))</f>
        <v>2</v>
      </c>
      <c r="BT27">
        <f t="array" ref="BT27">INDEX(DAT!$C$63:$C$86,MATCH(100*MainTour!$A27+RIGHT(BE$1,1),100*DAT!$A$63:$A$86+DAT!$B$63:$B$86,0))</f>
        <v>2</v>
      </c>
      <c r="BU27">
        <f t="array" ref="BU27">INDEX(DAT!$C$63:$C$86,MATCH(100*MainTour!$A27+RIGHT(BF$1,1),100*DAT!$A$63:$A$86+DAT!$B$63:$B$86,0))</f>
        <v>2</v>
      </c>
      <c r="BW27">
        <f t="array" ref="BW27">INDEX(DAT!$C$92:$C$115,MATCH(100*MainTour!$A27+RIGHT(BC$1,1),100*DAT!$A$92:$A$115+DAT!$B$92:$B$115,0))</f>
        <v>5</v>
      </c>
      <c r="BX27">
        <f t="array" ref="BX27">INDEX(DAT!$C$92:$C$115,MATCH(100*MainTour!$A27+RIGHT(BD$1,1),100*DAT!$A$92:$A$115+DAT!$B$92:$B$115,0))</f>
        <v>5</v>
      </c>
      <c r="BY27">
        <f t="array" ref="BY27">INDEX(DAT!$C$92:$C$115,MATCH(100*MainTour!$A27+RIGHT(BE$1,1),100*DAT!$A$92:$A$115+DAT!$B$92:$B$115,0))</f>
        <v>5</v>
      </c>
      <c r="BZ27">
        <f t="array" ref="BZ27">INDEX(DAT!$C$92:$C$115,MATCH(100*MainTour!$A27+RIGHT(BF$1,1),100*DAT!$A$92:$A$115+DAT!$B$92:$B$115,0))</f>
        <v>5</v>
      </c>
      <c r="CB27" t="b">
        <f t="shared" si="18"/>
        <v>1</v>
      </c>
      <c r="CC27" t="b">
        <f t="shared" si="19"/>
        <v>1</v>
      </c>
      <c r="CD27" t="b">
        <f t="shared" si="20"/>
        <v>1</v>
      </c>
      <c r="CE27" t="b">
        <f t="shared" si="21"/>
        <v>1</v>
      </c>
      <c r="CG27">
        <f t="array" ref="CG27">INDEX(DAT!$C$476:$C$499,MATCH(100*MainTour!$A27+RIGHT(BC$1,1),100*DAT!$A$476:$A$499+DAT!$B$476:$B$499,0))/2</f>
        <v>8</v>
      </c>
      <c r="CH27">
        <f t="array" ref="CH27">INDEX(DAT!$C$476:$C$499,MATCH(100*MainTour!$A27+RIGHT(BD$1,1),100*DAT!$A$476:$A$499+DAT!$B$476:$B$499,0))/2</f>
        <v>16</v>
      </c>
      <c r="CI27">
        <f t="array" ref="CI27">INDEX(DAT!$C$476:$C$499,MATCH(100*MainTour!$A27+RIGHT(BE$1,1),100*DAT!$A$476:$A$499+DAT!$B$476:$B$499,0))/2</f>
        <v>24</v>
      </c>
      <c r="CJ27">
        <f t="array" ref="CJ27">INDEX(DAT!$C$476:$C$499,MATCH(100*MainTour!$A27+RIGHT(BF$1,1),100*DAT!$A$476:$A$499+DAT!$B$476:$B$499,0))/2</f>
        <v>32</v>
      </c>
      <c r="CL27">
        <f t="array" ref="CL27">INDEX(DAT!$C$506:$C$529,MATCH(100*MainTour!$A27+RIGHT(BC$1,1),100*DAT!$A$506:$A$529+DAT!$B$506:$B$529,0))/2</f>
        <v>32</v>
      </c>
      <c r="CM27">
        <f t="array" ref="CM27">INDEX(DAT!$C$506:$C$529,MATCH(100*MainTour!$A27+RIGHT(BD$1,1),100*DAT!$A$506:$A$529+DAT!$B$506:$B$529,0))/2</f>
        <v>64</v>
      </c>
      <c r="CN27">
        <f t="array" ref="CN27">INDEX(DAT!$C$506:$C$529,MATCH(100*MainTour!$A27+RIGHT(BE$1,1),100*DAT!$A$506:$A$529+DAT!$B$506:$B$529,0))/2</f>
        <v>96</v>
      </c>
      <c r="CO27">
        <f t="array" ref="CO27">INDEX(DAT!$C$506:$C$529,MATCH(100*MainTour!$A27+RIGHT(BF$1,1),100*DAT!$A$506:$A$529+DAT!$B$506:$B$529,0))/2</f>
        <v>128</v>
      </c>
      <c r="CQ27" t="b">
        <f t="shared" si="22"/>
        <v>1</v>
      </c>
      <c r="CR27" t="b">
        <f t="shared" si="23"/>
        <v>1</v>
      </c>
      <c r="CS27" t="b">
        <f t="shared" si="24"/>
        <v>1</v>
      </c>
      <c r="CT27" t="b">
        <f t="shared" si="25"/>
        <v>1</v>
      </c>
      <c r="CV27">
        <f t="array" ref="CV27">INDEX(DAT!$C$544:$C$567,MATCH(100*MainTour!$A27+RIGHT(BC$1,1),100*DAT!$A$544:$A$567+DAT!$B$544:$B$567,0))/2</f>
        <v>8</v>
      </c>
      <c r="CW27">
        <f t="array" ref="CW27">INDEX(DAT!$C$544:$C$567,MATCH(100*MainTour!$A27+RIGHT(BD$1,1),100*DAT!$A$544:$A$567+DAT!$B$544:$B$567,0))/2</f>
        <v>8</v>
      </c>
      <c r="CX27">
        <f t="array" ref="CX27">INDEX(DAT!$C$544:$C$567,MATCH(100*MainTour!$A27+RIGHT(BE$1,1),100*DAT!$A$544:$A$567+DAT!$B$544:$B$567,0))/2</f>
        <v>8</v>
      </c>
      <c r="CY27">
        <f t="array" ref="CY27">INDEX(DAT!$C$544:$C$567,MATCH(100*MainTour!$A27+RIGHT(BF$1,1),100*DAT!$A$544:$A$567+DAT!$B$544:$B$567,0))/2</f>
        <v>8</v>
      </c>
      <c r="DA27">
        <f t="array" ref="DA27">INDEX(DAT!$C$573:$C$596,MATCH(100*MainTour!$A27+RIGHT(BC$1,1),100*DAT!$A$573:$A$596+DAT!$B$573:$B$596,0))/2</f>
        <v>32</v>
      </c>
      <c r="DB27">
        <f t="array" ref="DB27">INDEX(DAT!$C$573:$C$596,MATCH(100*MainTour!$A27+RIGHT(BD$1,1),100*DAT!$A$573:$A$596+DAT!$B$573:$B$596,0))/2</f>
        <v>32</v>
      </c>
      <c r="DC27">
        <f t="array" ref="DC27">INDEX(DAT!$C$573:$C$596,MATCH(100*MainTour!$A27+RIGHT(BE$1,1),100*DAT!$A$573:$A$596+DAT!$B$573:$B$596,0))/2</f>
        <v>32</v>
      </c>
      <c r="DD27">
        <f t="array" ref="DD27">INDEX(DAT!$C$573:$C$596,MATCH(100*MainTour!$A27+RIGHT(BF$1,1),100*DAT!$A$573:$A$596+DAT!$B$573:$B$596,0))/2</f>
        <v>32</v>
      </c>
      <c r="DF27" t="b">
        <f t="shared" si="26"/>
        <v>1</v>
      </c>
      <c r="DG27" t="b">
        <f t="shared" si="27"/>
        <v>1</v>
      </c>
      <c r="DH27" t="b">
        <f t="shared" si="28"/>
        <v>1</v>
      </c>
      <c r="DI27" t="b">
        <f t="shared" si="29"/>
        <v>1</v>
      </c>
    </row>
    <row r="28" spans="1:113" x14ac:dyDescent="0.25">
      <c r="A28" s="2">
        <v>1</v>
      </c>
      <c r="B28" s="5" t="s">
        <v>1</v>
      </c>
      <c r="C28" s="2" t="s">
        <v>5</v>
      </c>
      <c r="D28" s="2" t="s">
        <v>5</v>
      </c>
      <c r="E28" s="2" t="s">
        <v>5</v>
      </c>
      <c r="F28" s="2" t="s">
        <v>63</v>
      </c>
      <c r="G28" s="2" t="s">
        <v>5</v>
      </c>
      <c r="H28" s="5" t="s">
        <v>63</v>
      </c>
      <c r="I28" s="5" t="s">
        <v>63</v>
      </c>
      <c r="J28" s="2" t="s">
        <v>5</v>
      </c>
      <c r="K28" s="2" t="s">
        <v>5</v>
      </c>
      <c r="L28" s="2" t="s">
        <v>5</v>
      </c>
      <c r="M28" s="2" t="s">
        <v>63</v>
      </c>
      <c r="N28" s="2" t="s">
        <v>5</v>
      </c>
      <c r="O28" s="5" t="s">
        <v>5</v>
      </c>
      <c r="P28" s="5" t="s">
        <v>5</v>
      </c>
      <c r="Q28" s="2" t="s">
        <v>63</v>
      </c>
      <c r="R28" s="2" t="s">
        <v>5</v>
      </c>
      <c r="S28" s="2" t="s">
        <v>5</v>
      </c>
      <c r="T28" s="2" t="s">
        <v>5</v>
      </c>
      <c r="U28" s="2" t="s">
        <v>5</v>
      </c>
      <c r="V28" s="5" t="s">
        <v>63</v>
      </c>
      <c r="W28" s="5" t="s">
        <v>63</v>
      </c>
      <c r="X28" s="2" t="s">
        <v>5</v>
      </c>
      <c r="Y28" s="2" t="s">
        <v>5</v>
      </c>
      <c r="Z28" s="2" t="s">
        <v>63</v>
      </c>
      <c r="AA28" s="2" t="s">
        <v>5</v>
      </c>
      <c r="AB28" s="2" t="s">
        <v>5</v>
      </c>
      <c r="AC28" s="5" t="s">
        <v>5</v>
      </c>
      <c r="AE28">
        <f t="shared" si="2"/>
        <v>2</v>
      </c>
      <c r="AF28">
        <f t="shared" si="3"/>
        <v>8</v>
      </c>
      <c r="AG28">
        <f t="shared" si="4"/>
        <v>2</v>
      </c>
      <c r="AH28">
        <f t="shared" si="5"/>
        <v>2</v>
      </c>
      <c r="AI28">
        <f t="shared" si="6"/>
        <v>2</v>
      </c>
      <c r="AJ28">
        <f t="shared" si="7"/>
        <v>2</v>
      </c>
      <c r="AK28">
        <f t="shared" si="8"/>
        <v>32</v>
      </c>
      <c r="AL28">
        <f t="shared" si="9"/>
        <v>8</v>
      </c>
      <c r="AM28">
        <f t="shared" si="10"/>
        <v>8</v>
      </c>
      <c r="AN28">
        <f t="shared" si="11"/>
        <v>8</v>
      </c>
      <c r="AO28">
        <f t="shared" si="12"/>
        <v>8</v>
      </c>
      <c r="AQ28">
        <f t="shared" si="13"/>
        <v>4</v>
      </c>
      <c r="AS28">
        <f>SUM($AG28:AG28)</f>
        <v>2</v>
      </c>
      <c r="AT28">
        <f>SUM($AG28:AH28)</f>
        <v>4</v>
      </c>
      <c r="AU28">
        <f>SUM($AG28:AI28)</f>
        <v>6</v>
      </c>
      <c r="AV28">
        <f>SUM($AG28:AJ28)</f>
        <v>8</v>
      </c>
      <c r="AX28">
        <f>SUM($AL28:AL28)</f>
        <v>8</v>
      </c>
      <c r="AY28">
        <f>SUM($AL28:AM28)</f>
        <v>16</v>
      </c>
      <c r="AZ28">
        <f>SUM($AL28:AN28)</f>
        <v>24</v>
      </c>
      <c r="BA28">
        <f>SUM($AL28:AO28)</f>
        <v>32</v>
      </c>
      <c r="BC28">
        <f t="array" ref="BC28">INDEX(DAT!$C$3:$C$26,MATCH(100*MainTour!$A28+RIGHT(BC$1,1),100*DAT!$A$3:$A$26+DAT!$B$3:$B$26,0))</f>
        <v>2</v>
      </c>
      <c r="BD28">
        <f t="array" ref="BD28">INDEX(DAT!$C$3:$C$26,MATCH(100*MainTour!$A28+RIGHT(BD$1,1),100*DAT!$A$3:$A$26+DAT!$B$3:$B$26,0))</f>
        <v>4</v>
      </c>
      <c r="BE28">
        <f t="array" ref="BE28">INDEX(DAT!$C$3:$C$26,MATCH(100*MainTour!$A28+RIGHT(BE$1,1),100*DAT!$A$3:$A$26+DAT!$B$3:$B$26,0))</f>
        <v>6</v>
      </c>
      <c r="BF28">
        <f t="array" ref="BF28">INDEX(DAT!$C$3:$C$26,MATCH(100*MainTour!$A28+RIGHT(BF$1,1),100*DAT!$A$3:$A$26+DAT!$B$3:$B$26,0))</f>
        <v>8</v>
      </c>
      <c r="BH28">
        <f t="array" ref="BH28">INDEX(DAT!$C$34:$C$57,MATCH(100*MainTour!$A28+RIGHT(BC$1,1),100*DAT!$A$34:$A$57+DAT!$B$34:$B$57,0))</f>
        <v>5</v>
      </c>
      <c r="BI28">
        <f t="array" ref="BI28">INDEX(DAT!$C$34:$C$57,MATCH(100*MainTour!$A28+RIGHT(BD$1,1),100*DAT!$A$34:$A$57+DAT!$B$34:$B$57,0))</f>
        <v>10</v>
      </c>
      <c r="BJ28">
        <f t="array" ref="BJ28">INDEX(DAT!$C$34:$C$57,MATCH(100*MainTour!$A28+RIGHT(BE$1,1),100*DAT!$A$34:$A$57+DAT!$B$34:$B$57,0))</f>
        <v>15</v>
      </c>
      <c r="BK28">
        <f t="array" ref="BK28">INDEX(DAT!$C$34:$C$57,MATCH(100*MainTour!$A28+RIGHT(BF$1,1),100*DAT!$A$34:$A$57+DAT!$B$34:$B$57,0))</f>
        <v>20</v>
      </c>
      <c r="BM28" t="b">
        <f t="shared" si="14"/>
        <v>1</v>
      </c>
      <c r="BN28" t="b">
        <f t="shared" si="15"/>
        <v>1</v>
      </c>
      <c r="BO28" t="b">
        <f t="shared" si="16"/>
        <v>1</v>
      </c>
      <c r="BP28" t="b">
        <f t="shared" si="17"/>
        <v>1</v>
      </c>
      <c r="BR28">
        <f t="array" ref="BR28">INDEX(DAT!$C$63:$C$86,MATCH(100*MainTour!$A28+RIGHT(BC$1,1),100*DAT!$A$63:$A$86+DAT!$B$63:$B$86,0))</f>
        <v>2</v>
      </c>
      <c r="BS28">
        <f t="array" ref="BS28">INDEX(DAT!$C$63:$C$86,MATCH(100*MainTour!$A28+RIGHT(BD$1,1),100*DAT!$A$63:$A$86+DAT!$B$63:$B$86,0))</f>
        <v>2</v>
      </c>
      <c r="BT28">
        <f t="array" ref="BT28">INDEX(DAT!$C$63:$C$86,MATCH(100*MainTour!$A28+RIGHT(BE$1,1),100*DAT!$A$63:$A$86+DAT!$B$63:$B$86,0))</f>
        <v>2</v>
      </c>
      <c r="BU28">
        <f t="array" ref="BU28">INDEX(DAT!$C$63:$C$86,MATCH(100*MainTour!$A28+RIGHT(BF$1,1),100*DAT!$A$63:$A$86+DAT!$B$63:$B$86,0))</f>
        <v>2</v>
      </c>
      <c r="BW28">
        <f t="array" ref="BW28">INDEX(DAT!$C$92:$C$115,MATCH(100*MainTour!$A28+RIGHT(BC$1,1),100*DAT!$A$92:$A$115+DAT!$B$92:$B$115,0))</f>
        <v>5</v>
      </c>
      <c r="BX28">
        <f t="array" ref="BX28">INDEX(DAT!$C$92:$C$115,MATCH(100*MainTour!$A28+RIGHT(BD$1,1),100*DAT!$A$92:$A$115+DAT!$B$92:$B$115,0))</f>
        <v>5</v>
      </c>
      <c r="BY28">
        <f t="array" ref="BY28">INDEX(DAT!$C$92:$C$115,MATCH(100*MainTour!$A28+RIGHT(BE$1,1),100*DAT!$A$92:$A$115+DAT!$B$92:$B$115,0))</f>
        <v>5</v>
      </c>
      <c r="BZ28">
        <f t="array" ref="BZ28">INDEX(DAT!$C$92:$C$115,MATCH(100*MainTour!$A28+RIGHT(BF$1,1),100*DAT!$A$92:$A$115+DAT!$B$92:$B$115,0))</f>
        <v>5</v>
      </c>
      <c r="CB28" t="b">
        <f t="shared" si="18"/>
        <v>1</v>
      </c>
      <c r="CC28" t="b">
        <f t="shared" si="19"/>
        <v>1</v>
      </c>
      <c r="CD28" t="b">
        <f t="shared" si="20"/>
        <v>1</v>
      </c>
      <c r="CE28" t="b">
        <f t="shared" si="21"/>
        <v>1</v>
      </c>
      <c r="CG28">
        <f t="array" ref="CG28">INDEX(DAT!$C$476:$C$499,MATCH(100*MainTour!$A28+RIGHT(BC$1,1),100*DAT!$A$476:$A$499+DAT!$B$476:$B$499,0))/2</f>
        <v>8</v>
      </c>
      <c r="CH28">
        <f t="array" ref="CH28">INDEX(DAT!$C$476:$C$499,MATCH(100*MainTour!$A28+RIGHT(BD$1,1),100*DAT!$A$476:$A$499+DAT!$B$476:$B$499,0))/2</f>
        <v>16</v>
      </c>
      <c r="CI28">
        <f t="array" ref="CI28">INDEX(DAT!$C$476:$C$499,MATCH(100*MainTour!$A28+RIGHT(BE$1,1),100*DAT!$A$476:$A$499+DAT!$B$476:$B$499,0))/2</f>
        <v>24</v>
      </c>
      <c r="CJ28">
        <f t="array" ref="CJ28">INDEX(DAT!$C$476:$C$499,MATCH(100*MainTour!$A28+RIGHT(BF$1,1),100*DAT!$A$476:$A$499+DAT!$B$476:$B$499,0))/2</f>
        <v>32</v>
      </c>
      <c r="CL28">
        <f t="array" ref="CL28">INDEX(DAT!$C$506:$C$529,MATCH(100*MainTour!$A28+RIGHT(BC$1,1),100*DAT!$A$506:$A$529+DAT!$B$506:$B$529,0))/2</f>
        <v>32</v>
      </c>
      <c r="CM28">
        <f t="array" ref="CM28">INDEX(DAT!$C$506:$C$529,MATCH(100*MainTour!$A28+RIGHT(BD$1,1),100*DAT!$A$506:$A$529+DAT!$B$506:$B$529,0))/2</f>
        <v>64</v>
      </c>
      <c r="CN28">
        <f t="array" ref="CN28">INDEX(DAT!$C$506:$C$529,MATCH(100*MainTour!$A28+RIGHT(BE$1,1),100*DAT!$A$506:$A$529+DAT!$B$506:$B$529,0))/2</f>
        <v>96</v>
      </c>
      <c r="CO28">
        <f t="array" ref="CO28">INDEX(DAT!$C$506:$C$529,MATCH(100*MainTour!$A28+RIGHT(BF$1,1),100*DAT!$A$506:$A$529+DAT!$B$506:$B$529,0))/2</f>
        <v>128</v>
      </c>
      <c r="CQ28" t="b">
        <f t="shared" si="22"/>
        <v>1</v>
      </c>
      <c r="CR28" t="b">
        <f t="shared" si="23"/>
        <v>1</v>
      </c>
      <c r="CS28" t="b">
        <f t="shared" si="24"/>
        <v>1</v>
      </c>
      <c r="CT28" t="b">
        <f t="shared" si="25"/>
        <v>1</v>
      </c>
      <c r="CV28">
        <f t="array" ref="CV28">INDEX(DAT!$C$544:$C$567,MATCH(100*MainTour!$A28+RIGHT(BC$1,1),100*DAT!$A$544:$A$567+DAT!$B$544:$B$567,0))/2</f>
        <v>8</v>
      </c>
      <c r="CW28">
        <f t="array" ref="CW28">INDEX(DAT!$C$544:$C$567,MATCH(100*MainTour!$A28+RIGHT(BD$1,1),100*DAT!$A$544:$A$567+DAT!$B$544:$B$567,0))/2</f>
        <v>8</v>
      </c>
      <c r="CX28">
        <f t="array" ref="CX28">INDEX(DAT!$C$544:$C$567,MATCH(100*MainTour!$A28+RIGHT(BE$1,1),100*DAT!$A$544:$A$567+DAT!$B$544:$B$567,0))/2</f>
        <v>8</v>
      </c>
      <c r="CY28">
        <f t="array" ref="CY28">INDEX(DAT!$C$544:$C$567,MATCH(100*MainTour!$A28+RIGHT(BF$1,1),100*DAT!$A$544:$A$567+DAT!$B$544:$B$567,0))/2</f>
        <v>8</v>
      </c>
      <c r="DA28">
        <f t="array" ref="DA28">INDEX(DAT!$C$573:$C$596,MATCH(100*MainTour!$A28+RIGHT(BC$1,1),100*DAT!$A$573:$A$596+DAT!$B$573:$B$596,0))/2</f>
        <v>32</v>
      </c>
      <c r="DB28">
        <f t="array" ref="DB28">INDEX(DAT!$C$573:$C$596,MATCH(100*MainTour!$A28+RIGHT(BD$1,1),100*DAT!$A$573:$A$596+DAT!$B$573:$B$596,0))/2</f>
        <v>32</v>
      </c>
      <c r="DC28">
        <f t="array" ref="DC28">INDEX(DAT!$C$573:$C$596,MATCH(100*MainTour!$A28+RIGHT(BE$1,1),100*DAT!$A$573:$A$596+DAT!$B$573:$B$596,0))/2</f>
        <v>32</v>
      </c>
      <c r="DD28">
        <f t="array" ref="DD28">INDEX(DAT!$C$573:$C$596,MATCH(100*MainTour!$A28+RIGHT(BF$1,1),100*DAT!$A$573:$A$596+DAT!$B$573:$B$596,0))/2</f>
        <v>32</v>
      </c>
      <c r="DF28" t="b">
        <f t="shared" si="26"/>
        <v>1</v>
      </c>
      <c r="DG28" t="b">
        <f t="shared" si="27"/>
        <v>1</v>
      </c>
      <c r="DH28" t="b">
        <f t="shared" si="28"/>
        <v>1</v>
      </c>
      <c r="DI28" t="b">
        <f t="shared" si="29"/>
        <v>1</v>
      </c>
    </row>
    <row r="29" spans="1:113" x14ac:dyDescent="0.25">
      <c r="A29" s="2">
        <v>1</v>
      </c>
      <c r="B29" s="5" t="s">
        <v>1</v>
      </c>
      <c r="C29" s="2" t="s">
        <v>63</v>
      </c>
      <c r="D29" s="2" t="s">
        <v>63</v>
      </c>
      <c r="E29" s="2" t="s">
        <v>5</v>
      </c>
      <c r="F29" s="2" t="s">
        <v>5</v>
      </c>
      <c r="G29" s="2" t="s">
        <v>5</v>
      </c>
      <c r="H29" s="5" t="s">
        <v>5</v>
      </c>
      <c r="I29" s="5" t="s">
        <v>5</v>
      </c>
      <c r="J29" s="2" t="s">
        <v>5</v>
      </c>
      <c r="K29" s="2" t="s">
        <v>63</v>
      </c>
      <c r="L29" s="2" t="s">
        <v>5</v>
      </c>
      <c r="M29" s="2" t="s">
        <v>63</v>
      </c>
      <c r="N29" s="2" t="s">
        <v>5</v>
      </c>
      <c r="O29" s="5" t="s">
        <v>5</v>
      </c>
      <c r="P29" s="5" t="s">
        <v>5</v>
      </c>
      <c r="Q29" s="2" t="s">
        <v>5</v>
      </c>
      <c r="R29" s="2" t="s">
        <v>63</v>
      </c>
      <c r="S29" s="2" t="s">
        <v>5</v>
      </c>
      <c r="T29" s="2" t="s">
        <v>5</v>
      </c>
      <c r="U29" s="2" t="s">
        <v>63</v>
      </c>
      <c r="V29" s="5" t="s">
        <v>5</v>
      </c>
      <c r="W29" s="5" t="s">
        <v>5</v>
      </c>
      <c r="X29" s="2" t="s">
        <v>5</v>
      </c>
      <c r="Y29" s="2" t="s">
        <v>63</v>
      </c>
      <c r="Z29" s="2" t="s">
        <v>5</v>
      </c>
      <c r="AA29" s="2" t="s">
        <v>5</v>
      </c>
      <c r="AB29" s="2" t="s">
        <v>63</v>
      </c>
      <c r="AC29" s="5" t="s">
        <v>5</v>
      </c>
      <c r="AE29">
        <f t="shared" si="2"/>
        <v>2</v>
      </c>
      <c r="AF29">
        <f t="shared" si="3"/>
        <v>8</v>
      </c>
      <c r="AG29">
        <f t="shared" si="4"/>
        <v>2</v>
      </c>
      <c r="AH29">
        <f t="shared" si="5"/>
        <v>2</v>
      </c>
      <c r="AI29">
        <f t="shared" si="6"/>
        <v>2</v>
      </c>
      <c r="AJ29">
        <f t="shared" si="7"/>
        <v>2</v>
      </c>
      <c r="AK29">
        <f t="shared" si="8"/>
        <v>32</v>
      </c>
      <c r="AL29">
        <f t="shared" si="9"/>
        <v>8</v>
      </c>
      <c r="AM29">
        <f t="shared" si="10"/>
        <v>8</v>
      </c>
      <c r="AN29">
        <f t="shared" si="11"/>
        <v>8</v>
      </c>
      <c r="AO29">
        <f t="shared" si="12"/>
        <v>8</v>
      </c>
      <c r="AQ29">
        <f t="shared" si="13"/>
        <v>0</v>
      </c>
      <c r="AS29">
        <f>SUM($AG29:AG29)</f>
        <v>2</v>
      </c>
      <c r="AT29">
        <f>SUM($AG29:AH29)</f>
        <v>4</v>
      </c>
      <c r="AU29">
        <f>SUM($AG29:AI29)</f>
        <v>6</v>
      </c>
      <c r="AV29">
        <f>SUM($AG29:AJ29)</f>
        <v>8</v>
      </c>
      <c r="AX29">
        <f>SUM($AL29:AL29)</f>
        <v>8</v>
      </c>
      <c r="AY29">
        <f>SUM($AL29:AM29)</f>
        <v>16</v>
      </c>
      <c r="AZ29">
        <f>SUM($AL29:AN29)</f>
        <v>24</v>
      </c>
      <c r="BA29">
        <f>SUM($AL29:AO29)</f>
        <v>32</v>
      </c>
      <c r="BC29">
        <f t="array" ref="BC29">INDEX(DAT!$C$3:$C$26,MATCH(100*MainTour!$A29+RIGHT(BC$1,1),100*DAT!$A$3:$A$26+DAT!$B$3:$B$26,0))</f>
        <v>2</v>
      </c>
      <c r="BD29">
        <f t="array" ref="BD29">INDEX(DAT!$C$3:$C$26,MATCH(100*MainTour!$A29+RIGHT(BD$1,1),100*DAT!$A$3:$A$26+DAT!$B$3:$B$26,0))</f>
        <v>4</v>
      </c>
      <c r="BE29">
        <f t="array" ref="BE29">INDEX(DAT!$C$3:$C$26,MATCH(100*MainTour!$A29+RIGHT(BE$1,1),100*DAT!$A$3:$A$26+DAT!$B$3:$B$26,0))</f>
        <v>6</v>
      </c>
      <c r="BF29">
        <f t="array" ref="BF29">INDEX(DAT!$C$3:$C$26,MATCH(100*MainTour!$A29+RIGHT(BF$1,1),100*DAT!$A$3:$A$26+DAT!$B$3:$B$26,0))</f>
        <v>8</v>
      </c>
      <c r="BH29">
        <f t="array" ref="BH29">INDEX(DAT!$C$34:$C$57,MATCH(100*MainTour!$A29+RIGHT(BC$1,1),100*DAT!$A$34:$A$57+DAT!$B$34:$B$57,0))</f>
        <v>5</v>
      </c>
      <c r="BI29">
        <f t="array" ref="BI29">INDEX(DAT!$C$34:$C$57,MATCH(100*MainTour!$A29+RIGHT(BD$1,1),100*DAT!$A$34:$A$57+DAT!$B$34:$B$57,0))</f>
        <v>10</v>
      </c>
      <c r="BJ29">
        <f t="array" ref="BJ29">INDEX(DAT!$C$34:$C$57,MATCH(100*MainTour!$A29+RIGHT(BE$1,1),100*DAT!$A$34:$A$57+DAT!$B$34:$B$57,0))</f>
        <v>15</v>
      </c>
      <c r="BK29">
        <f t="array" ref="BK29">INDEX(DAT!$C$34:$C$57,MATCH(100*MainTour!$A29+RIGHT(BF$1,1),100*DAT!$A$34:$A$57+DAT!$B$34:$B$57,0))</f>
        <v>20</v>
      </c>
      <c r="BM29" t="b">
        <f t="shared" si="14"/>
        <v>1</v>
      </c>
      <c r="BN29" t="b">
        <f t="shared" si="15"/>
        <v>1</v>
      </c>
      <c r="BO29" t="b">
        <f t="shared" si="16"/>
        <v>1</v>
      </c>
      <c r="BP29" t="b">
        <f t="shared" si="17"/>
        <v>1</v>
      </c>
      <c r="BR29">
        <f t="array" ref="BR29">INDEX(DAT!$C$63:$C$86,MATCH(100*MainTour!$A29+RIGHT(BC$1,1),100*DAT!$A$63:$A$86+DAT!$B$63:$B$86,0))</f>
        <v>2</v>
      </c>
      <c r="BS29">
        <f t="array" ref="BS29">INDEX(DAT!$C$63:$C$86,MATCH(100*MainTour!$A29+RIGHT(BD$1,1),100*DAT!$A$63:$A$86+DAT!$B$63:$B$86,0))</f>
        <v>2</v>
      </c>
      <c r="BT29">
        <f t="array" ref="BT29">INDEX(DAT!$C$63:$C$86,MATCH(100*MainTour!$A29+RIGHT(BE$1,1),100*DAT!$A$63:$A$86+DAT!$B$63:$B$86,0))</f>
        <v>2</v>
      </c>
      <c r="BU29">
        <f t="array" ref="BU29">INDEX(DAT!$C$63:$C$86,MATCH(100*MainTour!$A29+RIGHT(BF$1,1),100*DAT!$A$63:$A$86+DAT!$B$63:$B$86,0))</f>
        <v>2</v>
      </c>
      <c r="BW29">
        <f t="array" ref="BW29">INDEX(DAT!$C$92:$C$115,MATCH(100*MainTour!$A29+RIGHT(BC$1,1),100*DAT!$A$92:$A$115+DAT!$B$92:$B$115,0))</f>
        <v>5</v>
      </c>
      <c r="BX29">
        <f t="array" ref="BX29">INDEX(DAT!$C$92:$C$115,MATCH(100*MainTour!$A29+RIGHT(BD$1,1),100*DAT!$A$92:$A$115+DAT!$B$92:$B$115,0))</f>
        <v>5</v>
      </c>
      <c r="BY29">
        <f t="array" ref="BY29">INDEX(DAT!$C$92:$C$115,MATCH(100*MainTour!$A29+RIGHT(BE$1,1),100*DAT!$A$92:$A$115+DAT!$B$92:$B$115,0))</f>
        <v>5</v>
      </c>
      <c r="BZ29">
        <f t="array" ref="BZ29">INDEX(DAT!$C$92:$C$115,MATCH(100*MainTour!$A29+RIGHT(BF$1,1),100*DAT!$A$92:$A$115+DAT!$B$92:$B$115,0))</f>
        <v>5</v>
      </c>
      <c r="CB29" t="b">
        <f t="shared" si="18"/>
        <v>1</v>
      </c>
      <c r="CC29" t="b">
        <f t="shared" si="19"/>
        <v>1</v>
      </c>
      <c r="CD29" t="b">
        <f t="shared" si="20"/>
        <v>1</v>
      </c>
      <c r="CE29" t="b">
        <f t="shared" si="21"/>
        <v>1</v>
      </c>
      <c r="CG29">
        <f t="array" ref="CG29">INDEX(DAT!$C$476:$C$499,MATCH(100*MainTour!$A29+RIGHT(BC$1,1),100*DAT!$A$476:$A$499+DAT!$B$476:$B$499,0))/2</f>
        <v>8</v>
      </c>
      <c r="CH29">
        <f t="array" ref="CH29">INDEX(DAT!$C$476:$C$499,MATCH(100*MainTour!$A29+RIGHT(BD$1,1),100*DAT!$A$476:$A$499+DAT!$B$476:$B$499,0))/2</f>
        <v>16</v>
      </c>
      <c r="CI29">
        <f t="array" ref="CI29">INDEX(DAT!$C$476:$C$499,MATCH(100*MainTour!$A29+RIGHT(BE$1,1),100*DAT!$A$476:$A$499+DAT!$B$476:$B$499,0))/2</f>
        <v>24</v>
      </c>
      <c r="CJ29">
        <f t="array" ref="CJ29">INDEX(DAT!$C$476:$C$499,MATCH(100*MainTour!$A29+RIGHT(BF$1,1),100*DAT!$A$476:$A$499+DAT!$B$476:$B$499,0))/2</f>
        <v>32</v>
      </c>
      <c r="CL29">
        <f t="array" ref="CL29">INDEX(DAT!$C$506:$C$529,MATCH(100*MainTour!$A29+RIGHT(BC$1,1),100*DAT!$A$506:$A$529+DAT!$B$506:$B$529,0))/2</f>
        <v>32</v>
      </c>
      <c r="CM29">
        <f t="array" ref="CM29">INDEX(DAT!$C$506:$C$529,MATCH(100*MainTour!$A29+RIGHT(BD$1,1),100*DAT!$A$506:$A$529+DAT!$B$506:$B$529,0))/2</f>
        <v>64</v>
      </c>
      <c r="CN29">
        <f t="array" ref="CN29">INDEX(DAT!$C$506:$C$529,MATCH(100*MainTour!$A29+RIGHT(BE$1,1),100*DAT!$A$506:$A$529+DAT!$B$506:$B$529,0))/2</f>
        <v>96</v>
      </c>
      <c r="CO29">
        <f t="array" ref="CO29">INDEX(DAT!$C$506:$C$529,MATCH(100*MainTour!$A29+RIGHT(BF$1,1),100*DAT!$A$506:$A$529+DAT!$B$506:$B$529,0))/2</f>
        <v>128</v>
      </c>
      <c r="CQ29" t="b">
        <f t="shared" si="22"/>
        <v>1</v>
      </c>
      <c r="CR29" t="b">
        <f t="shared" si="23"/>
        <v>1</v>
      </c>
      <c r="CS29" t="b">
        <f t="shared" si="24"/>
        <v>1</v>
      </c>
      <c r="CT29" t="b">
        <f t="shared" si="25"/>
        <v>1</v>
      </c>
      <c r="CV29">
        <f t="array" ref="CV29">INDEX(DAT!$C$544:$C$567,MATCH(100*MainTour!$A29+RIGHT(BC$1,1),100*DAT!$A$544:$A$567+DAT!$B$544:$B$567,0))/2</f>
        <v>8</v>
      </c>
      <c r="CW29">
        <f t="array" ref="CW29">INDEX(DAT!$C$544:$C$567,MATCH(100*MainTour!$A29+RIGHT(BD$1,1),100*DAT!$A$544:$A$567+DAT!$B$544:$B$567,0))/2</f>
        <v>8</v>
      </c>
      <c r="CX29">
        <f t="array" ref="CX29">INDEX(DAT!$C$544:$C$567,MATCH(100*MainTour!$A29+RIGHT(BE$1,1),100*DAT!$A$544:$A$567+DAT!$B$544:$B$567,0))/2</f>
        <v>8</v>
      </c>
      <c r="CY29">
        <f t="array" ref="CY29">INDEX(DAT!$C$544:$C$567,MATCH(100*MainTour!$A29+RIGHT(BF$1,1),100*DAT!$A$544:$A$567+DAT!$B$544:$B$567,0))/2</f>
        <v>8</v>
      </c>
      <c r="DA29">
        <f t="array" ref="DA29">INDEX(DAT!$C$573:$C$596,MATCH(100*MainTour!$A29+RIGHT(BC$1,1),100*DAT!$A$573:$A$596+DAT!$B$573:$B$596,0))/2</f>
        <v>32</v>
      </c>
      <c r="DB29">
        <f t="array" ref="DB29">INDEX(DAT!$C$573:$C$596,MATCH(100*MainTour!$A29+RIGHT(BD$1,1),100*DAT!$A$573:$A$596+DAT!$B$573:$B$596,0))/2</f>
        <v>32</v>
      </c>
      <c r="DC29">
        <f t="array" ref="DC29">INDEX(DAT!$C$573:$C$596,MATCH(100*MainTour!$A29+RIGHT(BE$1,1),100*DAT!$A$573:$A$596+DAT!$B$573:$B$596,0))/2</f>
        <v>32</v>
      </c>
      <c r="DD29">
        <f t="array" ref="DD29">INDEX(DAT!$C$573:$C$596,MATCH(100*MainTour!$A29+RIGHT(BF$1,1),100*DAT!$A$573:$A$596+DAT!$B$573:$B$596,0))/2</f>
        <v>32</v>
      </c>
      <c r="DF29" t="b">
        <f t="shared" si="26"/>
        <v>1</v>
      </c>
      <c r="DG29" t="b">
        <f t="shared" si="27"/>
        <v>1</v>
      </c>
      <c r="DH29" t="b">
        <f t="shared" si="28"/>
        <v>1</v>
      </c>
      <c r="DI29" t="b">
        <f t="shared" si="29"/>
        <v>1</v>
      </c>
    </row>
    <row r="30" spans="1:113" x14ac:dyDescent="0.25">
      <c r="A30" s="2">
        <v>1</v>
      </c>
      <c r="B30" s="5" t="s">
        <v>1</v>
      </c>
      <c r="C30" s="2" t="s">
        <v>5</v>
      </c>
      <c r="D30" s="2" t="s">
        <v>5</v>
      </c>
      <c r="E30" s="2" t="s">
        <v>5</v>
      </c>
      <c r="F30" s="2" t="s">
        <v>63</v>
      </c>
      <c r="G30" s="2" t="s">
        <v>63</v>
      </c>
      <c r="H30" s="5" t="s">
        <v>5</v>
      </c>
      <c r="I30" s="5" t="s">
        <v>5</v>
      </c>
      <c r="J30" s="2" t="s">
        <v>5</v>
      </c>
      <c r="K30" s="2" t="s">
        <v>5</v>
      </c>
      <c r="L30" s="2" t="s">
        <v>5</v>
      </c>
      <c r="M30" s="2" t="s">
        <v>63</v>
      </c>
      <c r="N30" s="2" t="s">
        <v>63</v>
      </c>
      <c r="O30" s="5" t="s">
        <v>5</v>
      </c>
      <c r="P30" s="5" t="s">
        <v>5</v>
      </c>
      <c r="Q30" s="2" t="s">
        <v>5</v>
      </c>
      <c r="R30" s="2" t="s">
        <v>5</v>
      </c>
      <c r="S30" s="2" t="s">
        <v>63</v>
      </c>
      <c r="T30" s="2" t="s">
        <v>63</v>
      </c>
      <c r="U30" s="2" t="s">
        <v>5</v>
      </c>
      <c r="V30" s="5" t="s">
        <v>5</v>
      </c>
      <c r="W30" s="5" t="s">
        <v>5</v>
      </c>
      <c r="X30" s="2" t="s">
        <v>5</v>
      </c>
      <c r="Y30" s="2" t="s">
        <v>5</v>
      </c>
      <c r="Z30" s="2" t="s">
        <v>5</v>
      </c>
      <c r="AA30" s="2" t="s">
        <v>63</v>
      </c>
      <c r="AB30" s="2" t="s">
        <v>63</v>
      </c>
      <c r="AC30" s="5" t="s">
        <v>5</v>
      </c>
      <c r="AE30">
        <f t="shared" si="2"/>
        <v>2</v>
      </c>
      <c r="AF30">
        <f t="shared" si="3"/>
        <v>8</v>
      </c>
      <c r="AG30">
        <f t="shared" si="4"/>
        <v>2</v>
      </c>
      <c r="AH30">
        <f t="shared" si="5"/>
        <v>2</v>
      </c>
      <c r="AI30">
        <f t="shared" si="6"/>
        <v>2</v>
      </c>
      <c r="AJ30">
        <f t="shared" si="7"/>
        <v>2</v>
      </c>
      <c r="AK30">
        <f t="shared" si="8"/>
        <v>32</v>
      </c>
      <c r="AL30">
        <f t="shared" si="9"/>
        <v>8</v>
      </c>
      <c r="AM30">
        <f t="shared" si="10"/>
        <v>8</v>
      </c>
      <c r="AN30">
        <f t="shared" si="11"/>
        <v>8</v>
      </c>
      <c r="AO30">
        <f t="shared" si="12"/>
        <v>8</v>
      </c>
      <c r="AQ30">
        <f t="shared" si="13"/>
        <v>0</v>
      </c>
      <c r="AS30">
        <f>SUM($AG30:AG30)</f>
        <v>2</v>
      </c>
      <c r="AT30">
        <f>SUM($AG30:AH30)</f>
        <v>4</v>
      </c>
      <c r="AU30">
        <f>SUM($AG30:AI30)</f>
        <v>6</v>
      </c>
      <c r="AV30">
        <f>SUM($AG30:AJ30)</f>
        <v>8</v>
      </c>
      <c r="AX30">
        <f>SUM($AL30:AL30)</f>
        <v>8</v>
      </c>
      <c r="AY30">
        <f>SUM($AL30:AM30)</f>
        <v>16</v>
      </c>
      <c r="AZ30">
        <f>SUM($AL30:AN30)</f>
        <v>24</v>
      </c>
      <c r="BA30">
        <f>SUM($AL30:AO30)</f>
        <v>32</v>
      </c>
      <c r="BC30">
        <f t="array" ref="BC30">INDEX(DAT!$C$3:$C$26,MATCH(100*MainTour!$A30+RIGHT(BC$1,1),100*DAT!$A$3:$A$26+DAT!$B$3:$B$26,0))</f>
        <v>2</v>
      </c>
      <c r="BD30">
        <f t="array" ref="BD30">INDEX(DAT!$C$3:$C$26,MATCH(100*MainTour!$A30+RIGHT(BD$1,1),100*DAT!$A$3:$A$26+DAT!$B$3:$B$26,0))</f>
        <v>4</v>
      </c>
      <c r="BE30">
        <f t="array" ref="BE30">INDEX(DAT!$C$3:$C$26,MATCH(100*MainTour!$A30+RIGHT(BE$1,1),100*DAT!$A$3:$A$26+DAT!$B$3:$B$26,0))</f>
        <v>6</v>
      </c>
      <c r="BF30">
        <f t="array" ref="BF30">INDEX(DAT!$C$3:$C$26,MATCH(100*MainTour!$A30+RIGHT(BF$1,1),100*DAT!$A$3:$A$26+DAT!$B$3:$B$26,0))</f>
        <v>8</v>
      </c>
      <c r="BH30">
        <f t="array" ref="BH30">INDEX(DAT!$C$34:$C$57,MATCH(100*MainTour!$A30+RIGHT(BC$1,1),100*DAT!$A$34:$A$57+DAT!$B$34:$B$57,0))</f>
        <v>5</v>
      </c>
      <c r="BI30">
        <f t="array" ref="BI30">INDEX(DAT!$C$34:$C$57,MATCH(100*MainTour!$A30+RIGHT(BD$1,1),100*DAT!$A$34:$A$57+DAT!$B$34:$B$57,0))</f>
        <v>10</v>
      </c>
      <c r="BJ30">
        <f t="array" ref="BJ30">INDEX(DAT!$C$34:$C$57,MATCH(100*MainTour!$A30+RIGHT(BE$1,1),100*DAT!$A$34:$A$57+DAT!$B$34:$B$57,0))</f>
        <v>15</v>
      </c>
      <c r="BK30">
        <f t="array" ref="BK30">INDEX(DAT!$C$34:$C$57,MATCH(100*MainTour!$A30+RIGHT(BF$1,1),100*DAT!$A$34:$A$57+DAT!$B$34:$B$57,0))</f>
        <v>20</v>
      </c>
      <c r="BM30" t="b">
        <f t="shared" si="14"/>
        <v>1</v>
      </c>
      <c r="BN30" t="b">
        <f t="shared" si="15"/>
        <v>1</v>
      </c>
      <c r="BO30" t="b">
        <f t="shared" si="16"/>
        <v>1</v>
      </c>
      <c r="BP30" t="b">
        <f t="shared" si="17"/>
        <v>1</v>
      </c>
      <c r="BR30">
        <f t="array" ref="BR30">INDEX(DAT!$C$63:$C$86,MATCH(100*MainTour!$A30+RIGHT(BC$1,1),100*DAT!$A$63:$A$86+DAT!$B$63:$B$86,0))</f>
        <v>2</v>
      </c>
      <c r="BS30">
        <f t="array" ref="BS30">INDEX(DAT!$C$63:$C$86,MATCH(100*MainTour!$A30+RIGHT(BD$1,1),100*DAT!$A$63:$A$86+DAT!$B$63:$B$86,0))</f>
        <v>2</v>
      </c>
      <c r="BT30">
        <f t="array" ref="BT30">INDEX(DAT!$C$63:$C$86,MATCH(100*MainTour!$A30+RIGHT(BE$1,1),100*DAT!$A$63:$A$86+DAT!$B$63:$B$86,0))</f>
        <v>2</v>
      </c>
      <c r="BU30">
        <f t="array" ref="BU30">INDEX(DAT!$C$63:$C$86,MATCH(100*MainTour!$A30+RIGHT(BF$1,1),100*DAT!$A$63:$A$86+DAT!$B$63:$B$86,0))</f>
        <v>2</v>
      </c>
      <c r="BW30">
        <f t="array" ref="BW30">INDEX(DAT!$C$92:$C$115,MATCH(100*MainTour!$A30+RIGHT(BC$1,1),100*DAT!$A$92:$A$115+DAT!$B$92:$B$115,0))</f>
        <v>5</v>
      </c>
      <c r="BX30">
        <f t="array" ref="BX30">INDEX(DAT!$C$92:$C$115,MATCH(100*MainTour!$A30+RIGHT(BD$1,1),100*DAT!$A$92:$A$115+DAT!$B$92:$B$115,0))</f>
        <v>5</v>
      </c>
      <c r="BY30">
        <f t="array" ref="BY30">INDEX(DAT!$C$92:$C$115,MATCH(100*MainTour!$A30+RIGHT(BE$1,1),100*DAT!$A$92:$A$115+DAT!$B$92:$B$115,0))</f>
        <v>5</v>
      </c>
      <c r="BZ30">
        <f t="array" ref="BZ30">INDEX(DAT!$C$92:$C$115,MATCH(100*MainTour!$A30+RIGHT(BF$1,1),100*DAT!$A$92:$A$115+DAT!$B$92:$B$115,0))</f>
        <v>5</v>
      </c>
      <c r="CB30" t="b">
        <f t="shared" si="18"/>
        <v>1</v>
      </c>
      <c r="CC30" t="b">
        <f t="shared" si="19"/>
        <v>1</v>
      </c>
      <c r="CD30" t="b">
        <f t="shared" si="20"/>
        <v>1</v>
      </c>
      <c r="CE30" t="b">
        <f t="shared" si="21"/>
        <v>1</v>
      </c>
      <c r="CG30">
        <f t="array" ref="CG30">INDEX(DAT!$C$476:$C$499,MATCH(100*MainTour!$A30+RIGHT(BC$1,1),100*DAT!$A$476:$A$499+DAT!$B$476:$B$499,0))/2</f>
        <v>8</v>
      </c>
      <c r="CH30">
        <f t="array" ref="CH30">INDEX(DAT!$C$476:$C$499,MATCH(100*MainTour!$A30+RIGHT(BD$1,1),100*DAT!$A$476:$A$499+DAT!$B$476:$B$499,0))/2</f>
        <v>16</v>
      </c>
      <c r="CI30">
        <f t="array" ref="CI30">INDEX(DAT!$C$476:$C$499,MATCH(100*MainTour!$A30+RIGHT(BE$1,1),100*DAT!$A$476:$A$499+DAT!$B$476:$B$499,0))/2</f>
        <v>24</v>
      </c>
      <c r="CJ30">
        <f t="array" ref="CJ30">INDEX(DAT!$C$476:$C$499,MATCH(100*MainTour!$A30+RIGHT(BF$1,1),100*DAT!$A$476:$A$499+DAT!$B$476:$B$499,0))/2</f>
        <v>32</v>
      </c>
      <c r="CL30">
        <f t="array" ref="CL30">INDEX(DAT!$C$506:$C$529,MATCH(100*MainTour!$A30+RIGHT(BC$1,1),100*DAT!$A$506:$A$529+DAT!$B$506:$B$529,0))/2</f>
        <v>32</v>
      </c>
      <c r="CM30">
        <f t="array" ref="CM30">INDEX(DAT!$C$506:$C$529,MATCH(100*MainTour!$A30+RIGHT(BD$1,1),100*DAT!$A$506:$A$529+DAT!$B$506:$B$529,0))/2</f>
        <v>64</v>
      </c>
      <c r="CN30">
        <f t="array" ref="CN30">INDEX(DAT!$C$506:$C$529,MATCH(100*MainTour!$A30+RIGHT(BE$1,1),100*DAT!$A$506:$A$529+DAT!$B$506:$B$529,0))/2</f>
        <v>96</v>
      </c>
      <c r="CO30">
        <f t="array" ref="CO30">INDEX(DAT!$C$506:$C$529,MATCH(100*MainTour!$A30+RIGHT(BF$1,1),100*DAT!$A$506:$A$529+DAT!$B$506:$B$529,0))/2</f>
        <v>128</v>
      </c>
      <c r="CQ30" t="b">
        <f t="shared" si="22"/>
        <v>1</v>
      </c>
      <c r="CR30" t="b">
        <f t="shared" si="23"/>
        <v>1</v>
      </c>
      <c r="CS30" t="b">
        <f t="shared" si="24"/>
        <v>1</v>
      </c>
      <c r="CT30" t="b">
        <f t="shared" si="25"/>
        <v>1</v>
      </c>
      <c r="CV30">
        <f t="array" ref="CV30">INDEX(DAT!$C$544:$C$567,MATCH(100*MainTour!$A30+RIGHT(BC$1,1),100*DAT!$A$544:$A$567+DAT!$B$544:$B$567,0))/2</f>
        <v>8</v>
      </c>
      <c r="CW30">
        <f t="array" ref="CW30">INDEX(DAT!$C$544:$C$567,MATCH(100*MainTour!$A30+RIGHT(BD$1,1),100*DAT!$A$544:$A$567+DAT!$B$544:$B$567,0))/2</f>
        <v>8</v>
      </c>
      <c r="CX30">
        <f t="array" ref="CX30">INDEX(DAT!$C$544:$C$567,MATCH(100*MainTour!$A30+RIGHT(BE$1,1),100*DAT!$A$544:$A$567+DAT!$B$544:$B$567,0))/2</f>
        <v>8</v>
      </c>
      <c r="CY30">
        <f t="array" ref="CY30">INDEX(DAT!$C$544:$C$567,MATCH(100*MainTour!$A30+RIGHT(BF$1,1),100*DAT!$A$544:$A$567+DAT!$B$544:$B$567,0))/2</f>
        <v>8</v>
      </c>
      <c r="DA30">
        <f t="array" ref="DA30">INDEX(DAT!$C$573:$C$596,MATCH(100*MainTour!$A30+RIGHT(BC$1,1),100*DAT!$A$573:$A$596+DAT!$B$573:$B$596,0))/2</f>
        <v>32</v>
      </c>
      <c r="DB30">
        <f t="array" ref="DB30">INDEX(DAT!$C$573:$C$596,MATCH(100*MainTour!$A30+RIGHT(BD$1,1),100*DAT!$A$573:$A$596+DAT!$B$573:$B$596,0))/2</f>
        <v>32</v>
      </c>
      <c r="DC30">
        <f t="array" ref="DC30">INDEX(DAT!$C$573:$C$596,MATCH(100*MainTour!$A30+RIGHT(BE$1,1),100*DAT!$A$573:$A$596+DAT!$B$573:$B$596,0))/2</f>
        <v>32</v>
      </c>
      <c r="DD30">
        <f t="array" ref="DD30">INDEX(DAT!$C$573:$C$596,MATCH(100*MainTour!$A30+RIGHT(BF$1,1),100*DAT!$A$573:$A$596+DAT!$B$573:$B$596,0))/2</f>
        <v>32</v>
      </c>
      <c r="DF30" t="b">
        <f t="shared" si="26"/>
        <v>1</v>
      </c>
      <c r="DG30" t="b">
        <f t="shared" si="27"/>
        <v>1</v>
      </c>
      <c r="DH30" t="b">
        <f t="shared" si="28"/>
        <v>1</v>
      </c>
      <c r="DI30" t="b">
        <f t="shared" si="29"/>
        <v>1</v>
      </c>
    </row>
    <row r="31" spans="1:113" x14ac:dyDescent="0.25">
      <c r="A31" s="2">
        <v>1</v>
      </c>
      <c r="B31" s="5" t="s">
        <v>1</v>
      </c>
      <c r="C31" s="2" t="s">
        <v>64</v>
      </c>
      <c r="D31" s="2" t="s">
        <v>5</v>
      </c>
      <c r="E31" s="2" t="s">
        <v>5</v>
      </c>
      <c r="F31" s="2" t="s">
        <v>5</v>
      </c>
      <c r="G31" s="2" t="s">
        <v>64</v>
      </c>
      <c r="H31" s="5" t="s">
        <v>5</v>
      </c>
      <c r="I31" s="5" t="s">
        <v>5</v>
      </c>
      <c r="J31" s="2" t="s">
        <v>5</v>
      </c>
      <c r="K31" s="2" t="s">
        <v>5</v>
      </c>
      <c r="L31" s="2" t="s">
        <v>64</v>
      </c>
      <c r="M31" s="2" t="s">
        <v>5</v>
      </c>
      <c r="N31" s="2" t="s">
        <v>64</v>
      </c>
      <c r="O31" s="5" t="s">
        <v>5</v>
      </c>
      <c r="P31" s="5" t="s">
        <v>5</v>
      </c>
      <c r="Q31" s="2" t="s">
        <v>64</v>
      </c>
      <c r="R31" s="2" t="s">
        <v>5</v>
      </c>
      <c r="S31" s="2" t="s">
        <v>5</v>
      </c>
      <c r="T31" s="2" t="s">
        <v>64</v>
      </c>
      <c r="U31" s="2" t="s">
        <v>64</v>
      </c>
      <c r="V31" s="5" t="s">
        <v>5</v>
      </c>
      <c r="W31" s="5" t="s">
        <v>5</v>
      </c>
      <c r="X31" s="2" t="s">
        <v>64</v>
      </c>
      <c r="Y31" s="2" t="s">
        <v>5</v>
      </c>
      <c r="Z31" s="2" t="s">
        <v>5</v>
      </c>
      <c r="AA31" s="2" t="s">
        <v>64</v>
      </c>
      <c r="AB31" s="2" t="s">
        <v>5</v>
      </c>
      <c r="AC31" s="5" t="s">
        <v>5</v>
      </c>
      <c r="AE31">
        <f t="shared" si="2"/>
        <v>2</v>
      </c>
      <c r="AF31">
        <f t="shared" si="3"/>
        <v>9</v>
      </c>
      <c r="AG31">
        <f t="shared" si="4"/>
        <v>2</v>
      </c>
      <c r="AH31">
        <f t="shared" si="5"/>
        <v>2</v>
      </c>
      <c r="AI31">
        <f t="shared" si="6"/>
        <v>3</v>
      </c>
      <c r="AJ31">
        <f t="shared" si="7"/>
        <v>2</v>
      </c>
      <c r="AK31">
        <f t="shared" si="8"/>
        <v>36</v>
      </c>
      <c r="AL31">
        <f t="shared" si="9"/>
        <v>8</v>
      </c>
      <c r="AM31">
        <f t="shared" si="10"/>
        <v>8</v>
      </c>
      <c r="AN31">
        <f t="shared" si="11"/>
        <v>12</v>
      </c>
      <c r="AO31">
        <f t="shared" si="12"/>
        <v>8</v>
      </c>
      <c r="AQ31">
        <f t="shared" si="13"/>
        <v>0</v>
      </c>
      <c r="AS31">
        <f>SUM($AG31:AG31)</f>
        <v>2</v>
      </c>
      <c r="AT31">
        <f>SUM($AG31:AH31)</f>
        <v>4</v>
      </c>
      <c r="AU31">
        <f>SUM($AG31:AI31)</f>
        <v>7</v>
      </c>
      <c r="AV31">
        <f>SUM($AG31:AJ31)</f>
        <v>9</v>
      </c>
      <c r="AX31">
        <f>SUM($AL31:AL31)</f>
        <v>8</v>
      </c>
      <c r="AY31">
        <f>SUM($AL31:AM31)</f>
        <v>16</v>
      </c>
      <c r="AZ31">
        <f>SUM($AL31:AN31)</f>
        <v>28</v>
      </c>
      <c r="BA31">
        <f>SUM($AL31:AO31)</f>
        <v>36</v>
      </c>
      <c r="BC31">
        <f t="array" ref="BC31">INDEX(DAT!$C$3:$C$26,MATCH(100*MainTour!$A31+RIGHT(BC$1,1),100*DAT!$A$3:$A$26+DAT!$B$3:$B$26,0))</f>
        <v>2</v>
      </c>
      <c r="BD31">
        <f t="array" ref="BD31">INDEX(DAT!$C$3:$C$26,MATCH(100*MainTour!$A31+RIGHT(BD$1,1),100*DAT!$A$3:$A$26+DAT!$B$3:$B$26,0))</f>
        <v>4</v>
      </c>
      <c r="BE31">
        <f t="array" ref="BE31">INDEX(DAT!$C$3:$C$26,MATCH(100*MainTour!$A31+RIGHT(BE$1,1),100*DAT!$A$3:$A$26+DAT!$B$3:$B$26,0))</f>
        <v>6</v>
      </c>
      <c r="BF31">
        <f t="array" ref="BF31">INDEX(DAT!$C$3:$C$26,MATCH(100*MainTour!$A31+RIGHT(BF$1,1),100*DAT!$A$3:$A$26+DAT!$B$3:$B$26,0))</f>
        <v>8</v>
      </c>
      <c r="BH31">
        <f t="array" ref="BH31">INDEX(DAT!$C$34:$C$57,MATCH(100*MainTour!$A31+RIGHT(BC$1,1),100*DAT!$A$34:$A$57+DAT!$B$34:$B$57,0))</f>
        <v>5</v>
      </c>
      <c r="BI31">
        <f t="array" ref="BI31">INDEX(DAT!$C$34:$C$57,MATCH(100*MainTour!$A31+RIGHT(BD$1,1),100*DAT!$A$34:$A$57+DAT!$B$34:$B$57,0))</f>
        <v>10</v>
      </c>
      <c r="BJ31">
        <f t="array" ref="BJ31">INDEX(DAT!$C$34:$C$57,MATCH(100*MainTour!$A31+RIGHT(BE$1,1),100*DAT!$A$34:$A$57+DAT!$B$34:$B$57,0))</f>
        <v>15</v>
      </c>
      <c r="BK31">
        <f t="array" ref="BK31">INDEX(DAT!$C$34:$C$57,MATCH(100*MainTour!$A31+RIGHT(BF$1,1),100*DAT!$A$34:$A$57+DAT!$B$34:$B$57,0))</f>
        <v>20</v>
      </c>
      <c r="BM31" t="b">
        <f t="shared" si="14"/>
        <v>1</v>
      </c>
      <c r="BN31" t="b">
        <f t="shared" si="15"/>
        <v>1</v>
      </c>
      <c r="BO31" t="b">
        <f t="shared" si="16"/>
        <v>1</v>
      </c>
      <c r="BP31" t="b">
        <f t="shared" si="17"/>
        <v>1</v>
      </c>
      <c r="BR31">
        <f t="array" ref="BR31">INDEX(DAT!$C$63:$C$86,MATCH(100*MainTour!$A31+RIGHT(BC$1,1),100*DAT!$A$63:$A$86+DAT!$B$63:$B$86,0))</f>
        <v>2</v>
      </c>
      <c r="BS31">
        <f t="array" ref="BS31">INDEX(DAT!$C$63:$C$86,MATCH(100*MainTour!$A31+RIGHT(BD$1,1),100*DAT!$A$63:$A$86+DAT!$B$63:$B$86,0))</f>
        <v>2</v>
      </c>
      <c r="BT31">
        <f t="array" ref="BT31">INDEX(DAT!$C$63:$C$86,MATCH(100*MainTour!$A31+RIGHT(BE$1,1),100*DAT!$A$63:$A$86+DAT!$B$63:$B$86,0))</f>
        <v>2</v>
      </c>
      <c r="BU31">
        <f t="array" ref="BU31">INDEX(DAT!$C$63:$C$86,MATCH(100*MainTour!$A31+RIGHT(BF$1,1),100*DAT!$A$63:$A$86+DAT!$B$63:$B$86,0))</f>
        <v>2</v>
      </c>
      <c r="BW31">
        <f t="array" ref="BW31">INDEX(DAT!$C$92:$C$115,MATCH(100*MainTour!$A31+RIGHT(BC$1,1),100*DAT!$A$92:$A$115+DAT!$B$92:$B$115,0))</f>
        <v>5</v>
      </c>
      <c r="BX31">
        <f t="array" ref="BX31">INDEX(DAT!$C$92:$C$115,MATCH(100*MainTour!$A31+RIGHT(BD$1,1),100*DAT!$A$92:$A$115+DAT!$B$92:$B$115,0))</f>
        <v>5</v>
      </c>
      <c r="BY31">
        <f t="array" ref="BY31">INDEX(DAT!$C$92:$C$115,MATCH(100*MainTour!$A31+RIGHT(BE$1,1),100*DAT!$A$92:$A$115+DAT!$B$92:$B$115,0))</f>
        <v>5</v>
      </c>
      <c r="BZ31">
        <f t="array" ref="BZ31">INDEX(DAT!$C$92:$C$115,MATCH(100*MainTour!$A31+RIGHT(BF$1,1),100*DAT!$A$92:$A$115+DAT!$B$92:$B$115,0))</f>
        <v>5</v>
      </c>
      <c r="CB31" t="b">
        <f t="shared" si="18"/>
        <v>1</v>
      </c>
      <c r="CC31" t="b">
        <f t="shared" si="19"/>
        <v>1</v>
      </c>
      <c r="CD31" t="b">
        <f t="shared" si="20"/>
        <v>1</v>
      </c>
      <c r="CE31" t="b">
        <f t="shared" si="21"/>
        <v>1</v>
      </c>
      <c r="CG31">
        <f t="array" ref="CG31">INDEX(DAT!$C$476:$C$499,MATCH(100*MainTour!$A31+RIGHT(BC$1,1),100*DAT!$A$476:$A$499+DAT!$B$476:$B$499,0))/2</f>
        <v>8</v>
      </c>
      <c r="CH31">
        <f t="array" ref="CH31">INDEX(DAT!$C$476:$C$499,MATCH(100*MainTour!$A31+RIGHT(BD$1,1),100*DAT!$A$476:$A$499+DAT!$B$476:$B$499,0))/2</f>
        <v>16</v>
      </c>
      <c r="CI31">
        <f t="array" ref="CI31">INDEX(DAT!$C$476:$C$499,MATCH(100*MainTour!$A31+RIGHT(BE$1,1),100*DAT!$A$476:$A$499+DAT!$B$476:$B$499,0))/2</f>
        <v>24</v>
      </c>
      <c r="CJ31">
        <f t="array" ref="CJ31">INDEX(DAT!$C$476:$C$499,MATCH(100*MainTour!$A31+RIGHT(BF$1,1),100*DAT!$A$476:$A$499+DAT!$B$476:$B$499,0))/2</f>
        <v>32</v>
      </c>
      <c r="CL31">
        <f t="array" ref="CL31">INDEX(DAT!$C$506:$C$529,MATCH(100*MainTour!$A31+RIGHT(BC$1,1),100*DAT!$A$506:$A$529+DAT!$B$506:$B$529,0))/2</f>
        <v>32</v>
      </c>
      <c r="CM31">
        <f t="array" ref="CM31">INDEX(DAT!$C$506:$C$529,MATCH(100*MainTour!$A31+RIGHT(BD$1,1),100*DAT!$A$506:$A$529+DAT!$B$506:$B$529,0))/2</f>
        <v>64</v>
      </c>
      <c r="CN31">
        <f t="array" ref="CN31">INDEX(DAT!$C$506:$C$529,MATCH(100*MainTour!$A31+RIGHT(BE$1,1),100*DAT!$A$506:$A$529+DAT!$B$506:$B$529,0))/2</f>
        <v>96</v>
      </c>
      <c r="CO31">
        <f t="array" ref="CO31">INDEX(DAT!$C$506:$C$529,MATCH(100*MainTour!$A31+RIGHT(BF$1,1),100*DAT!$A$506:$A$529+DAT!$B$506:$B$529,0))/2</f>
        <v>128</v>
      </c>
      <c r="CQ31" t="b">
        <f t="shared" si="22"/>
        <v>1</v>
      </c>
      <c r="CR31" t="b">
        <f t="shared" si="23"/>
        <v>1</v>
      </c>
      <c r="CS31" t="b">
        <f t="shared" si="24"/>
        <v>1</v>
      </c>
      <c r="CT31" t="b">
        <f t="shared" si="25"/>
        <v>1</v>
      </c>
      <c r="CV31">
        <f t="array" ref="CV31">INDEX(DAT!$C$544:$C$567,MATCH(100*MainTour!$A31+RIGHT(BC$1,1),100*DAT!$A$544:$A$567+DAT!$B$544:$B$567,0))/2</f>
        <v>8</v>
      </c>
      <c r="CW31">
        <f t="array" ref="CW31">INDEX(DAT!$C$544:$C$567,MATCH(100*MainTour!$A31+RIGHT(BD$1,1),100*DAT!$A$544:$A$567+DAT!$B$544:$B$567,0))/2</f>
        <v>8</v>
      </c>
      <c r="CX31">
        <f t="array" ref="CX31">INDEX(DAT!$C$544:$C$567,MATCH(100*MainTour!$A31+RIGHT(BE$1,1),100*DAT!$A$544:$A$567+DAT!$B$544:$B$567,0))/2</f>
        <v>8</v>
      </c>
      <c r="CY31">
        <f t="array" ref="CY31">INDEX(DAT!$C$544:$C$567,MATCH(100*MainTour!$A31+RIGHT(BF$1,1),100*DAT!$A$544:$A$567+DAT!$B$544:$B$567,0))/2</f>
        <v>8</v>
      </c>
      <c r="DA31">
        <f t="array" ref="DA31">INDEX(DAT!$C$573:$C$596,MATCH(100*MainTour!$A31+RIGHT(BC$1,1),100*DAT!$A$573:$A$596+DAT!$B$573:$B$596,0))/2</f>
        <v>32</v>
      </c>
      <c r="DB31">
        <f t="array" ref="DB31">INDEX(DAT!$C$573:$C$596,MATCH(100*MainTour!$A31+RIGHT(BD$1,1),100*DAT!$A$573:$A$596+DAT!$B$573:$B$596,0))/2</f>
        <v>32</v>
      </c>
      <c r="DC31">
        <f t="array" ref="DC31">INDEX(DAT!$C$573:$C$596,MATCH(100*MainTour!$A31+RIGHT(BE$1,1),100*DAT!$A$573:$A$596+DAT!$B$573:$B$596,0))/2</f>
        <v>32</v>
      </c>
      <c r="DD31">
        <f t="array" ref="DD31">INDEX(DAT!$C$573:$C$596,MATCH(100*MainTour!$A31+RIGHT(BF$1,1),100*DAT!$A$573:$A$596+DAT!$B$573:$B$596,0))/2</f>
        <v>32</v>
      </c>
      <c r="DF31" t="b">
        <f t="shared" si="26"/>
        <v>1</v>
      </c>
      <c r="DG31" t="b">
        <f t="shared" si="27"/>
        <v>1</v>
      </c>
      <c r="DH31" t="b">
        <f t="shared" si="28"/>
        <v>1</v>
      </c>
      <c r="DI31" t="b">
        <f t="shared" si="29"/>
        <v>1</v>
      </c>
    </row>
    <row r="32" spans="1:113" x14ac:dyDescent="0.25">
      <c r="A32" s="2">
        <v>4</v>
      </c>
      <c r="B32" s="5" t="s">
        <v>46</v>
      </c>
      <c r="C32" s="2" t="s">
        <v>65</v>
      </c>
      <c r="D32" s="2" t="s">
        <v>5</v>
      </c>
      <c r="E32" s="2" t="s">
        <v>65</v>
      </c>
      <c r="F32" s="2" t="s">
        <v>5</v>
      </c>
      <c r="G32" s="2" t="s">
        <v>65</v>
      </c>
      <c r="H32" s="5" t="s">
        <v>5</v>
      </c>
      <c r="I32" s="5" t="s">
        <v>5</v>
      </c>
      <c r="J32" s="2" t="s">
        <v>65</v>
      </c>
      <c r="K32" s="2" t="s">
        <v>5</v>
      </c>
      <c r="L32" s="2" t="s">
        <v>65</v>
      </c>
      <c r="M32" s="2" t="s">
        <v>1</v>
      </c>
      <c r="N32" s="2" t="s">
        <v>65</v>
      </c>
      <c r="O32" s="5" t="s">
        <v>65</v>
      </c>
      <c r="P32" s="5" t="s">
        <v>65</v>
      </c>
      <c r="Q32" s="2" t="s">
        <v>5</v>
      </c>
      <c r="R32" s="2" t="s">
        <v>65</v>
      </c>
      <c r="S32" s="2" t="s">
        <v>65</v>
      </c>
      <c r="T32" s="2" t="s">
        <v>65</v>
      </c>
      <c r="U32" s="2" t="s">
        <v>5</v>
      </c>
      <c r="V32" s="5" t="s">
        <v>5</v>
      </c>
      <c r="W32" s="5" t="s">
        <v>5</v>
      </c>
      <c r="X32" s="2" t="s">
        <v>5</v>
      </c>
      <c r="Y32" s="2" t="s">
        <v>65</v>
      </c>
      <c r="Z32" s="2" t="s">
        <v>5</v>
      </c>
      <c r="AA32" s="2" t="s">
        <v>65</v>
      </c>
      <c r="AB32" s="2" t="s">
        <v>65</v>
      </c>
      <c r="AC32" s="5" t="s">
        <v>65</v>
      </c>
      <c r="AE32">
        <f t="shared" si="2"/>
        <v>5</v>
      </c>
      <c r="AF32">
        <f t="shared" si="3"/>
        <v>16</v>
      </c>
      <c r="AG32">
        <f t="shared" si="4"/>
        <v>4</v>
      </c>
      <c r="AH32">
        <f t="shared" si="5"/>
        <v>4</v>
      </c>
      <c r="AI32">
        <f t="shared" si="6"/>
        <v>4</v>
      </c>
      <c r="AJ32">
        <f t="shared" si="7"/>
        <v>4</v>
      </c>
      <c r="AK32">
        <f t="shared" si="8"/>
        <v>160</v>
      </c>
      <c r="AL32">
        <f t="shared" si="9"/>
        <v>40</v>
      </c>
      <c r="AM32">
        <f t="shared" si="10"/>
        <v>40</v>
      </c>
      <c r="AN32">
        <f t="shared" si="11"/>
        <v>40</v>
      </c>
      <c r="AO32">
        <f t="shared" si="12"/>
        <v>40</v>
      </c>
      <c r="AQ32">
        <f t="shared" si="13"/>
        <v>4</v>
      </c>
      <c r="AS32">
        <f>SUM($AG32:AG32)</f>
        <v>4</v>
      </c>
      <c r="AT32">
        <f>SUM($AG32:AH32)</f>
        <v>8</v>
      </c>
      <c r="AU32">
        <f>SUM($AG32:AI32)</f>
        <v>12</v>
      </c>
      <c r="AV32">
        <f>SUM($AG32:AJ32)</f>
        <v>16</v>
      </c>
      <c r="AX32">
        <f>SUM($AL32:AL32)</f>
        <v>40</v>
      </c>
      <c r="AY32">
        <f>SUM($AL32:AM32)</f>
        <v>80</v>
      </c>
      <c r="AZ32">
        <f>SUM($AL32:AN32)</f>
        <v>120</v>
      </c>
      <c r="BA32">
        <f>SUM($AL32:AO32)</f>
        <v>160</v>
      </c>
      <c r="BC32">
        <f t="array" ref="BC32">INDEX(DAT!$C$3:$C$26,MATCH(100*MainTour!$A32+RIGHT(BC$1,1),100*DAT!$A$3:$A$26+DAT!$B$3:$B$26,0))</f>
        <v>4</v>
      </c>
      <c r="BD32">
        <f t="array" ref="BD32">INDEX(DAT!$C$3:$C$26,MATCH(100*MainTour!$A32+RIGHT(BD$1,1),100*DAT!$A$3:$A$26+DAT!$B$3:$B$26,0))</f>
        <v>8</v>
      </c>
      <c r="BE32">
        <f t="array" ref="BE32">INDEX(DAT!$C$3:$C$26,MATCH(100*MainTour!$A32+RIGHT(BE$1,1),100*DAT!$A$3:$A$26+DAT!$B$3:$B$26,0))</f>
        <v>12</v>
      </c>
      <c r="BF32">
        <f t="array" ref="BF32">INDEX(DAT!$C$3:$C$26,MATCH(100*MainTour!$A32+RIGHT(BF$1,1),100*DAT!$A$3:$A$26+DAT!$B$3:$B$26,0))</f>
        <v>16</v>
      </c>
      <c r="BH32">
        <f t="array" ref="BH32">INDEX(DAT!$C$34:$C$57,MATCH(100*MainTour!$A32+RIGHT(BC$1,1),100*DAT!$A$34:$A$57+DAT!$B$34:$B$57,0))</f>
        <v>4</v>
      </c>
      <c r="BI32">
        <f t="array" ref="BI32">INDEX(DAT!$C$34:$C$57,MATCH(100*MainTour!$A32+RIGHT(BD$1,1),100*DAT!$A$34:$A$57+DAT!$B$34:$B$57,0))</f>
        <v>8</v>
      </c>
      <c r="BJ32">
        <f t="array" ref="BJ32">INDEX(DAT!$C$34:$C$57,MATCH(100*MainTour!$A32+RIGHT(BE$1,1),100*DAT!$A$34:$A$57+DAT!$B$34:$B$57,0))</f>
        <v>12</v>
      </c>
      <c r="BK32">
        <f t="array" ref="BK32">INDEX(DAT!$C$34:$C$57,MATCH(100*MainTour!$A32+RIGHT(BF$1,1),100*DAT!$A$34:$A$57+DAT!$B$34:$B$57,0))</f>
        <v>16</v>
      </c>
      <c r="BM32" t="b">
        <f t="shared" si="14"/>
        <v>1</v>
      </c>
      <c r="BN32" t="b">
        <f t="shared" si="15"/>
        <v>1</v>
      </c>
      <c r="BO32" t="b">
        <f t="shared" si="16"/>
        <v>1</v>
      </c>
      <c r="BP32" t="b">
        <f t="shared" si="17"/>
        <v>1</v>
      </c>
      <c r="BR32">
        <f t="array" ref="BR32">INDEX(DAT!$C$63:$C$86,MATCH(100*MainTour!$A32+RIGHT(BC$1,1),100*DAT!$A$63:$A$86+DAT!$B$63:$B$86,0))</f>
        <v>4</v>
      </c>
      <c r="BS32">
        <f t="array" ref="BS32">INDEX(DAT!$C$63:$C$86,MATCH(100*MainTour!$A32+RIGHT(BD$1,1),100*DAT!$A$63:$A$86+DAT!$B$63:$B$86,0))</f>
        <v>4</v>
      </c>
      <c r="BT32">
        <f t="array" ref="BT32">INDEX(DAT!$C$63:$C$86,MATCH(100*MainTour!$A32+RIGHT(BE$1,1),100*DAT!$A$63:$A$86+DAT!$B$63:$B$86,0))</f>
        <v>4</v>
      </c>
      <c r="BU32">
        <f t="array" ref="BU32">INDEX(DAT!$C$63:$C$86,MATCH(100*MainTour!$A32+RIGHT(BF$1,1),100*DAT!$A$63:$A$86+DAT!$B$63:$B$86,0))</f>
        <v>4</v>
      </c>
      <c r="BW32">
        <f t="array" ref="BW32">INDEX(DAT!$C$92:$C$115,MATCH(100*MainTour!$A32+RIGHT(BC$1,1),100*DAT!$A$92:$A$115+DAT!$B$92:$B$115,0))</f>
        <v>4</v>
      </c>
      <c r="BX32">
        <f t="array" ref="BX32">INDEX(DAT!$C$92:$C$115,MATCH(100*MainTour!$A32+RIGHT(BD$1,1),100*DAT!$A$92:$A$115+DAT!$B$92:$B$115,0))</f>
        <v>4</v>
      </c>
      <c r="BY32">
        <f t="array" ref="BY32">INDEX(DAT!$C$92:$C$115,MATCH(100*MainTour!$A32+RIGHT(BE$1,1),100*DAT!$A$92:$A$115+DAT!$B$92:$B$115,0))</f>
        <v>4</v>
      </c>
      <c r="BZ32">
        <f t="array" ref="BZ32">INDEX(DAT!$C$92:$C$115,MATCH(100*MainTour!$A32+RIGHT(BF$1,1),100*DAT!$A$92:$A$115+DAT!$B$92:$B$115,0))</f>
        <v>4</v>
      </c>
      <c r="CB32" t="b">
        <f t="shared" si="18"/>
        <v>1</v>
      </c>
      <c r="CC32" t="b">
        <f t="shared" si="19"/>
        <v>1</v>
      </c>
      <c r="CD32" t="b">
        <f t="shared" si="20"/>
        <v>1</v>
      </c>
      <c r="CE32" t="b">
        <f t="shared" si="21"/>
        <v>1</v>
      </c>
      <c r="CG32">
        <f t="array" ref="CG32">INDEX(DAT!$C$476:$C$499,MATCH(100*MainTour!$A32+RIGHT(BC$1,1),100*DAT!$A$476:$A$499+DAT!$B$476:$B$499,0))/2</f>
        <v>40</v>
      </c>
      <c r="CH32">
        <f t="array" ref="CH32">INDEX(DAT!$C$476:$C$499,MATCH(100*MainTour!$A32+RIGHT(BD$1,1),100*DAT!$A$476:$A$499+DAT!$B$476:$B$499,0))/2</f>
        <v>80</v>
      </c>
      <c r="CI32">
        <f t="array" ref="CI32">INDEX(DAT!$C$476:$C$499,MATCH(100*MainTour!$A32+RIGHT(BE$1,1),100*DAT!$A$476:$A$499+DAT!$B$476:$B$499,0))/2</f>
        <v>120</v>
      </c>
      <c r="CJ32">
        <f t="array" ref="CJ32">INDEX(DAT!$C$476:$C$499,MATCH(100*MainTour!$A32+RIGHT(BF$1,1),100*DAT!$A$476:$A$499+DAT!$B$476:$B$499,0))/2</f>
        <v>160</v>
      </c>
      <c r="CL32">
        <f t="array" ref="CL32">INDEX(DAT!$C$506:$C$529,MATCH(100*MainTour!$A32+RIGHT(BC$1,1),100*DAT!$A$506:$A$529+DAT!$B$506:$B$529,0))/2</f>
        <v>40</v>
      </c>
      <c r="CM32">
        <f t="array" ref="CM32">INDEX(DAT!$C$506:$C$529,MATCH(100*MainTour!$A32+RIGHT(BD$1,1),100*DAT!$A$506:$A$529+DAT!$B$506:$B$529,0))/2</f>
        <v>80</v>
      </c>
      <c r="CN32">
        <f t="array" ref="CN32">INDEX(DAT!$C$506:$C$529,MATCH(100*MainTour!$A32+RIGHT(BE$1,1),100*DAT!$A$506:$A$529+DAT!$B$506:$B$529,0))/2</f>
        <v>120</v>
      </c>
      <c r="CO32">
        <f t="array" ref="CO32">INDEX(DAT!$C$506:$C$529,MATCH(100*MainTour!$A32+RIGHT(BF$1,1),100*DAT!$A$506:$A$529+DAT!$B$506:$B$529,0))/2</f>
        <v>160</v>
      </c>
      <c r="CQ32" t="b">
        <f t="shared" si="22"/>
        <v>1</v>
      </c>
      <c r="CR32" t="b">
        <f t="shared" si="23"/>
        <v>1</v>
      </c>
      <c r="CS32" t="b">
        <f t="shared" si="24"/>
        <v>1</v>
      </c>
      <c r="CT32" t="b">
        <f t="shared" si="25"/>
        <v>1</v>
      </c>
      <c r="CV32">
        <f t="array" ref="CV32">INDEX(DAT!$C$544:$C$567,MATCH(100*MainTour!$A32+RIGHT(BC$1,1),100*DAT!$A$544:$A$567+DAT!$B$544:$B$567,0))/2</f>
        <v>40</v>
      </c>
      <c r="CW32">
        <f t="array" ref="CW32">INDEX(DAT!$C$544:$C$567,MATCH(100*MainTour!$A32+RIGHT(BD$1,1),100*DAT!$A$544:$A$567+DAT!$B$544:$B$567,0))/2</f>
        <v>40</v>
      </c>
      <c r="CX32">
        <f t="array" ref="CX32">INDEX(DAT!$C$544:$C$567,MATCH(100*MainTour!$A32+RIGHT(BE$1,1),100*DAT!$A$544:$A$567+DAT!$B$544:$B$567,0))/2</f>
        <v>40</v>
      </c>
      <c r="CY32">
        <f t="array" ref="CY32">INDEX(DAT!$C$544:$C$567,MATCH(100*MainTour!$A32+RIGHT(BF$1,1),100*DAT!$A$544:$A$567+DAT!$B$544:$B$567,0))/2</f>
        <v>40</v>
      </c>
      <c r="DA32">
        <f t="array" ref="DA32">INDEX(DAT!$C$573:$C$596,MATCH(100*MainTour!$A32+RIGHT(BC$1,1),100*DAT!$A$573:$A$596+DAT!$B$573:$B$596,0))/2</f>
        <v>40</v>
      </c>
      <c r="DB32">
        <f t="array" ref="DB32">INDEX(DAT!$C$573:$C$596,MATCH(100*MainTour!$A32+RIGHT(BD$1,1),100*DAT!$A$573:$A$596+DAT!$B$573:$B$596,0))/2</f>
        <v>40</v>
      </c>
      <c r="DC32">
        <f t="array" ref="DC32">INDEX(DAT!$C$573:$C$596,MATCH(100*MainTour!$A32+RIGHT(BE$1,1),100*DAT!$A$573:$A$596+DAT!$B$573:$B$596,0))/2</f>
        <v>40</v>
      </c>
      <c r="DD32">
        <f t="array" ref="DD32">INDEX(DAT!$C$573:$C$596,MATCH(100*MainTour!$A32+RIGHT(BF$1,1),100*DAT!$A$573:$A$596+DAT!$B$573:$B$596,0))/2</f>
        <v>40</v>
      </c>
      <c r="DF32" t="b">
        <f t="shared" si="26"/>
        <v>1</v>
      </c>
      <c r="DG32" t="b">
        <f t="shared" si="27"/>
        <v>1</v>
      </c>
      <c r="DH32" t="b">
        <f t="shared" si="28"/>
        <v>1</v>
      </c>
      <c r="DI32" t="b">
        <f t="shared" si="29"/>
        <v>1</v>
      </c>
    </row>
    <row r="33" spans="1:113" x14ac:dyDescent="0.25">
      <c r="A33" s="2">
        <v>4</v>
      </c>
      <c r="B33" s="5" t="s">
        <v>46</v>
      </c>
      <c r="C33" s="2" t="s">
        <v>65</v>
      </c>
      <c r="D33" s="2" t="s">
        <v>65</v>
      </c>
      <c r="E33" s="2" t="s">
        <v>65</v>
      </c>
      <c r="F33" s="2" t="s">
        <v>5</v>
      </c>
      <c r="G33" s="2" t="s">
        <v>5</v>
      </c>
      <c r="H33" s="5" t="s">
        <v>5</v>
      </c>
      <c r="I33" s="5" t="s">
        <v>5</v>
      </c>
      <c r="J33" s="2" t="s">
        <v>5</v>
      </c>
      <c r="K33" s="2" t="s">
        <v>65</v>
      </c>
      <c r="L33" s="2" t="s">
        <v>65</v>
      </c>
      <c r="M33" s="2" t="s">
        <v>5</v>
      </c>
      <c r="N33" s="2" t="s">
        <v>65</v>
      </c>
      <c r="O33" s="5" t="s">
        <v>65</v>
      </c>
      <c r="P33" s="5" t="s">
        <v>65</v>
      </c>
      <c r="Q33" s="2" t="s">
        <v>65</v>
      </c>
      <c r="R33" s="2" t="s">
        <v>5</v>
      </c>
      <c r="S33" s="2" t="s">
        <v>65</v>
      </c>
      <c r="T33" s="2" t="s">
        <v>65</v>
      </c>
      <c r="U33" s="2" t="s">
        <v>5</v>
      </c>
      <c r="V33" s="5" t="s">
        <v>5</v>
      </c>
      <c r="W33" s="5" t="s">
        <v>5</v>
      </c>
      <c r="X33" s="2" t="s">
        <v>5</v>
      </c>
      <c r="Y33" s="2" t="s">
        <v>65</v>
      </c>
      <c r="Z33" s="2" t="s">
        <v>65</v>
      </c>
      <c r="AA33" s="2" t="s">
        <v>65</v>
      </c>
      <c r="AB33" s="2" t="s">
        <v>5</v>
      </c>
      <c r="AC33" s="5" t="s">
        <v>65</v>
      </c>
      <c r="AE33">
        <f t="shared" si="2"/>
        <v>5</v>
      </c>
      <c r="AF33">
        <f t="shared" si="3"/>
        <v>16</v>
      </c>
      <c r="AG33">
        <f t="shared" si="4"/>
        <v>4</v>
      </c>
      <c r="AH33">
        <f t="shared" si="5"/>
        <v>4</v>
      </c>
      <c r="AI33">
        <f t="shared" si="6"/>
        <v>4</v>
      </c>
      <c r="AJ33">
        <f t="shared" si="7"/>
        <v>4</v>
      </c>
      <c r="AK33">
        <f t="shared" si="8"/>
        <v>160</v>
      </c>
      <c r="AL33">
        <f t="shared" si="9"/>
        <v>40</v>
      </c>
      <c r="AM33">
        <f t="shared" si="10"/>
        <v>40</v>
      </c>
      <c r="AN33">
        <f t="shared" si="11"/>
        <v>40</v>
      </c>
      <c r="AO33">
        <f t="shared" si="12"/>
        <v>40</v>
      </c>
      <c r="AQ33">
        <f t="shared" si="13"/>
        <v>4</v>
      </c>
      <c r="AS33">
        <f>SUM($AG33:AG33)</f>
        <v>4</v>
      </c>
      <c r="AT33">
        <f>SUM($AG33:AH33)</f>
        <v>8</v>
      </c>
      <c r="AU33">
        <f>SUM($AG33:AI33)</f>
        <v>12</v>
      </c>
      <c r="AV33">
        <f>SUM($AG33:AJ33)</f>
        <v>16</v>
      </c>
      <c r="AX33">
        <f>SUM($AL33:AL33)</f>
        <v>40</v>
      </c>
      <c r="AY33">
        <f>SUM($AL33:AM33)</f>
        <v>80</v>
      </c>
      <c r="AZ33">
        <f>SUM($AL33:AN33)</f>
        <v>120</v>
      </c>
      <c r="BA33">
        <f>SUM($AL33:AO33)</f>
        <v>160</v>
      </c>
      <c r="BC33">
        <f t="array" ref="BC33">INDEX(DAT!$C$3:$C$26,MATCH(100*MainTour!$A33+RIGHT(BC$1,1),100*DAT!$A$3:$A$26+DAT!$B$3:$B$26,0))</f>
        <v>4</v>
      </c>
      <c r="BD33">
        <f t="array" ref="BD33">INDEX(DAT!$C$3:$C$26,MATCH(100*MainTour!$A33+RIGHT(BD$1,1),100*DAT!$A$3:$A$26+DAT!$B$3:$B$26,0))</f>
        <v>8</v>
      </c>
      <c r="BE33">
        <f t="array" ref="BE33">INDEX(DAT!$C$3:$C$26,MATCH(100*MainTour!$A33+RIGHT(BE$1,1),100*DAT!$A$3:$A$26+DAT!$B$3:$B$26,0))</f>
        <v>12</v>
      </c>
      <c r="BF33">
        <f t="array" ref="BF33">INDEX(DAT!$C$3:$C$26,MATCH(100*MainTour!$A33+RIGHT(BF$1,1),100*DAT!$A$3:$A$26+DAT!$B$3:$B$26,0))</f>
        <v>16</v>
      </c>
      <c r="BH33">
        <f t="array" ref="BH33">INDEX(DAT!$C$34:$C$57,MATCH(100*MainTour!$A33+RIGHT(BC$1,1),100*DAT!$A$34:$A$57+DAT!$B$34:$B$57,0))</f>
        <v>4</v>
      </c>
      <c r="BI33">
        <f t="array" ref="BI33">INDEX(DAT!$C$34:$C$57,MATCH(100*MainTour!$A33+RIGHT(BD$1,1),100*DAT!$A$34:$A$57+DAT!$B$34:$B$57,0))</f>
        <v>8</v>
      </c>
      <c r="BJ33">
        <f t="array" ref="BJ33">INDEX(DAT!$C$34:$C$57,MATCH(100*MainTour!$A33+RIGHT(BE$1,1),100*DAT!$A$34:$A$57+DAT!$B$34:$B$57,0))</f>
        <v>12</v>
      </c>
      <c r="BK33">
        <f t="array" ref="BK33">INDEX(DAT!$C$34:$C$57,MATCH(100*MainTour!$A33+RIGHT(BF$1,1),100*DAT!$A$34:$A$57+DAT!$B$34:$B$57,0))</f>
        <v>16</v>
      </c>
      <c r="BM33" t="b">
        <f t="shared" si="14"/>
        <v>1</v>
      </c>
      <c r="BN33" t="b">
        <f t="shared" si="15"/>
        <v>1</v>
      </c>
      <c r="BO33" t="b">
        <f t="shared" si="16"/>
        <v>1</v>
      </c>
      <c r="BP33" t="b">
        <f t="shared" si="17"/>
        <v>1</v>
      </c>
      <c r="BR33">
        <f t="array" ref="BR33">INDEX(DAT!$C$63:$C$86,MATCH(100*MainTour!$A33+RIGHT(BC$1,1),100*DAT!$A$63:$A$86+DAT!$B$63:$B$86,0))</f>
        <v>4</v>
      </c>
      <c r="BS33">
        <f t="array" ref="BS33">INDEX(DAT!$C$63:$C$86,MATCH(100*MainTour!$A33+RIGHT(BD$1,1),100*DAT!$A$63:$A$86+DAT!$B$63:$B$86,0))</f>
        <v>4</v>
      </c>
      <c r="BT33">
        <f t="array" ref="BT33">INDEX(DAT!$C$63:$C$86,MATCH(100*MainTour!$A33+RIGHT(BE$1,1),100*DAT!$A$63:$A$86+DAT!$B$63:$B$86,0))</f>
        <v>4</v>
      </c>
      <c r="BU33">
        <f t="array" ref="BU33">INDEX(DAT!$C$63:$C$86,MATCH(100*MainTour!$A33+RIGHT(BF$1,1),100*DAT!$A$63:$A$86+DAT!$B$63:$B$86,0))</f>
        <v>4</v>
      </c>
      <c r="BW33">
        <f t="array" ref="BW33">INDEX(DAT!$C$92:$C$115,MATCH(100*MainTour!$A33+RIGHT(BC$1,1),100*DAT!$A$92:$A$115+DAT!$B$92:$B$115,0))</f>
        <v>4</v>
      </c>
      <c r="BX33">
        <f t="array" ref="BX33">INDEX(DAT!$C$92:$C$115,MATCH(100*MainTour!$A33+RIGHT(BD$1,1),100*DAT!$A$92:$A$115+DAT!$B$92:$B$115,0))</f>
        <v>4</v>
      </c>
      <c r="BY33">
        <f t="array" ref="BY33">INDEX(DAT!$C$92:$C$115,MATCH(100*MainTour!$A33+RIGHT(BE$1,1),100*DAT!$A$92:$A$115+DAT!$B$92:$B$115,0))</f>
        <v>4</v>
      </c>
      <c r="BZ33">
        <f t="array" ref="BZ33">INDEX(DAT!$C$92:$C$115,MATCH(100*MainTour!$A33+RIGHT(BF$1,1),100*DAT!$A$92:$A$115+DAT!$B$92:$B$115,0))</f>
        <v>4</v>
      </c>
      <c r="CB33" t="b">
        <f t="shared" si="18"/>
        <v>1</v>
      </c>
      <c r="CC33" t="b">
        <f t="shared" si="19"/>
        <v>1</v>
      </c>
      <c r="CD33" t="b">
        <f t="shared" si="20"/>
        <v>1</v>
      </c>
      <c r="CE33" t="b">
        <f t="shared" si="21"/>
        <v>1</v>
      </c>
      <c r="CG33">
        <f t="array" ref="CG33">INDEX(DAT!$C$476:$C$499,MATCH(100*MainTour!$A33+RIGHT(BC$1,1),100*DAT!$A$476:$A$499+DAT!$B$476:$B$499,0))/2</f>
        <v>40</v>
      </c>
      <c r="CH33">
        <f t="array" ref="CH33">INDEX(DAT!$C$476:$C$499,MATCH(100*MainTour!$A33+RIGHT(BD$1,1),100*DAT!$A$476:$A$499+DAT!$B$476:$B$499,0))/2</f>
        <v>80</v>
      </c>
      <c r="CI33">
        <f t="array" ref="CI33">INDEX(DAT!$C$476:$C$499,MATCH(100*MainTour!$A33+RIGHT(BE$1,1),100*DAT!$A$476:$A$499+DAT!$B$476:$B$499,0))/2</f>
        <v>120</v>
      </c>
      <c r="CJ33">
        <f t="array" ref="CJ33">INDEX(DAT!$C$476:$C$499,MATCH(100*MainTour!$A33+RIGHT(BF$1,1),100*DAT!$A$476:$A$499+DAT!$B$476:$B$499,0))/2</f>
        <v>160</v>
      </c>
      <c r="CL33">
        <f t="array" ref="CL33">INDEX(DAT!$C$506:$C$529,MATCH(100*MainTour!$A33+RIGHT(BC$1,1),100*DAT!$A$506:$A$529+DAT!$B$506:$B$529,0))/2</f>
        <v>40</v>
      </c>
      <c r="CM33">
        <f t="array" ref="CM33">INDEX(DAT!$C$506:$C$529,MATCH(100*MainTour!$A33+RIGHT(BD$1,1),100*DAT!$A$506:$A$529+DAT!$B$506:$B$529,0))/2</f>
        <v>80</v>
      </c>
      <c r="CN33">
        <f t="array" ref="CN33">INDEX(DAT!$C$506:$C$529,MATCH(100*MainTour!$A33+RIGHT(BE$1,1),100*DAT!$A$506:$A$529+DAT!$B$506:$B$529,0))/2</f>
        <v>120</v>
      </c>
      <c r="CO33">
        <f t="array" ref="CO33">INDEX(DAT!$C$506:$C$529,MATCH(100*MainTour!$A33+RIGHT(BF$1,1),100*DAT!$A$506:$A$529+DAT!$B$506:$B$529,0))/2</f>
        <v>160</v>
      </c>
      <c r="CQ33" t="b">
        <f t="shared" si="22"/>
        <v>1</v>
      </c>
      <c r="CR33" t="b">
        <f t="shared" si="23"/>
        <v>1</v>
      </c>
      <c r="CS33" t="b">
        <f t="shared" si="24"/>
        <v>1</v>
      </c>
      <c r="CT33" t="b">
        <f t="shared" si="25"/>
        <v>1</v>
      </c>
      <c r="CV33">
        <f t="array" ref="CV33">INDEX(DAT!$C$544:$C$567,MATCH(100*MainTour!$A33+RIGHT(BC$1,1),100*DAT!$A$544:$A$567+DAT!$B$544:$B$567,0))/2</f>
        <v>40</v>
      </c>
      <c r="CW33">
        <f t="array" ref="CW33">INDEX(DAT!$C$544:$C$567,MATCH(100*MainTour!$A33+RIGHT(BD$1,1),100*DAT!$A$544:$A$567+DAT!$B$544:$B$567,0))/2</f>
        <v>40</v>
      </c>
      <c r="CX33">
        <f t="array" ref="CX33">INDEX(DAT!$C$544:$C$567,MATCH(100*MainTour!$A33+RIGHT(BE$1,1),100*DAT!$A$544:$A$567+DAT!$B$544:$B$567,0))/2</f>
        <v>40</v>
      </c>
      <c r="CY33">
        <f t="array" ref="CY33">INDEX(DAT!$C$544:$C$567,MATCH(100*MainTour!$A33+RIGHT(BF$1,1),100*DAT!$A$544:$A$567+DAT!$B$544:$B$567,0))/2</f>
        <v>40</v>
      </c>
      <c r="DA33">
        <f t="array" ref="DA33">INDEX(DAT!$C$573:$C$596,MATCH(100*MainTour!$A33+RIGHT(BC$1,1),100*DAT!$A$573:$A$596+DAT!$B$573:$B$596,0))/2</f>
        <v>40</v>
      </c>
      <c r="DB33">
        <f t="array" ref="DB33">INDEX(DAT!$C$573:$C$596,MATCH(100*MainTour!$A33+RIGHT(BD$1,1),100*DAT!$A$573:$A$596+DAT!$B$573:$B$596,0))/2</f>
        <v>40</v>
      </c>
      <c r="DC33">
        <f t="array" ref="DC33">INDEX(DAT!$C$573:$C$596,MATCH(100*MainTour!$A33+RIGHT(BE$1,1),100*DAT!$A$573:$A$596+DAT!$B$573:$B$596,0))/2</f>
        <v>40</v>
      </c>
      <c r="DD33">
        <f t="array" ref="DD33">INDEX(DAT!$C$573:$C$596,MATCH(100*MainTour!$A33+RIGHT(BF$1,1),100*DAT!$A$573:$A$596+DAT!$B$573:$B$596,0))/2</f>
        <v>40</v>
      </c>
      <c r="DF33" t="b">
        <f t="shared" si="26"/>
        <v>1</v>
      </c>
      <c r="DG33" t="b">
        <f t="shared" si="27"/>
        <v>1</v>
      </c>
      <c r="DH33" t="b">
        <f t="shared" si="28"/>
        <v>1</v>
      </c>
      <c r="DI33" t="b">
        <f t="shared" si="29"/>
        <v>1</v>
      </c>
    </row>
    <row r="34" spans="1:113" x14ac:dyDescent="0.25">
      <c r="A34" s="2">
        <v>4</v>
      </c>
      <c r="B34" s="5" t="s">
        <v>46</v>
      </c>
      <c r="C34" s="2" t="s">
        <v>5</v>
      </c>
      <c r="D34" s="2" t="s">
        <v>65</v>
      </c>
      <c r="E34" s="2" t="s">
        <v>65</v>
      </c>
      <c r="F34" s="2" t="s">
        <v>65</v>
      </c>
      <c r="G34" s="2" t="s">
        <v>5</v>
      </c>
      <c r="H34" s="5" t="s">
        <v>5</v>
      </c>
      <c r="I34" s="5" t="s">
        <v>5</v>
      </c>
      <c r="J34" s="2" t="s">
        <v>1</v>
      </c>
      <c r="K34" s="2" t="s">
        <v>65</v>
      </c>
      <c r="L34" s="2" t="s">
        <v>65</v>
      </c>
      <c r="M34" s="2" t="s">
        <v>65</v>
      </c>
      <c r="N34" s="2" t="s">
        <v>5</v>
      </c>
      <c r="O34" s="5" t="s">
        <v>65</v>
      </c>
      <c r="P34" s="5" t="s">
        <v>65</v>
      </c>
      <c r="Q34" s="2" t="s">
        <v>5</v>
      </c>
      <c r="R34" s="2" t="s">
        <v>5</v>
      </c>
      <c r="S34" s="2" t="s">
        <v>65</v>
      </c>
      <c r="T34" s="2" t="s">
        <v>65</v>
      </c>
      <c r="U34" s="2" t="s">
        <v>65</v>
      </c>
      <c r="V34" s="5" t="s">
        <v>5</v>
      </c>
      <c r="W34" s="5" t="s">
        <v>5</v>
      </c>
      <c r="X34" s="2" t="s">
        <v>65</v>
      </c>
      <c r="Y34" s="2" t="s">
        <v>65</v>
      </c>
      <c r="Z34" s="2" t="s">
        <v>5</v>
      </c>
      <c r="AA34" s="2" t="s">
        <v>5</v>
      </c>
      <c r="AB34" s="2" t="s">
        <v>65</v>
      </c>
      <c r="AC34" s="5" t="s">
        <v>65</v>
      </c>
      <c r="AE34">
        <f t="shared" si="2"/>
        <v>3</v>
      </c>
      <c r="AF34">
        <f t="shared" si="3"/>
        <v>16</v>
      </c>
      <c r="AG34">
        <f t="shared" si="4"/>
        <v>4</v>
      </c>
      <c r="AH34">
        <f t="shared" si="5"/>
        <v>4</v>
      </c>
      <c r="AI34">
        <f t="shared" si="6"/>
        <v>4</v>
      </c>
      <c r="AJ34">
        <f t="shared" si="7"/>
        <v>4</v>
      </c>
      <c r="AK34">
        <f t="shared" si="8"/>
        <v>160</v>
      </c>
      <c r="AL34">
        <f t="shared" si="9"/>
        <v>40</v>
      </c>
      <c r="AM34">
        <f t="shared" si="10"/>
        <v>40</v>
      </c>
      <c r="AN34">
        <f t="shared" si="11"/>
        <v>40</v>
      </c>
      <c r="AO34">
        <f t="shared" si="12"/>
        <v>40</v>
      </c>
      <c r="AQ34">
        <f t="shared" si="13"/>
        <v>4</v>
      </c>
      <c r="AS34">
        <f>SUM($AG34:AG34)</f>
        <v>4</v>
      </c>
      <c r="AT34">
        <f>SUM($AG34:AH34)</f>
        <v>8</v>
      </c>
      <c r="AU34">
        <f>SUM($AG34:AI34)</f>
        <v>12</v>
      </c>
      <c r="AV34">
        <f>SUM($AG34:AJ34)</f>
        <v>16</v>
      </c>
      <c r="AX34">
        <f>SUM($AL34:AL34)</f>
        <v>40</v>
      </c>
      <c r="AY34">
        <f>SUM($AL34:AM34)</f>
        <v>80</v>
      </c>
      <c r="AZ34">
        <f>SUM($AL34:AN34)</f>
        <v>120</v>
      </c>
      <c r="BA34">
        <f>SUM($AL34:AO34)</f>
        <v>160</v>
      </c>
      <c r="BC34">
        <f t="array" ref="BC34">INDEX(DAT!$C$3:$C$26,MATCH(100*MainTour!$A34+RIGHT(BC$1,1),100*DAT!$A$3:$A$26+DAT!$B$3:$B$26,0))</f>
        <v>4</v>
      </c>
      <c r="BD34">
        <f t="array" ref="BD34">INDEX(DAT!$C$3:$C$26,MATCH(100*MainTour!$A34+RIGHT(BD$1,1),100*DAT!$A$3:$A$26+DAT!$B$3:$B$26,0))</f>
        <v>8</v>
      </c>
      <c r="BE34">
        <f t="array" ref="BE34">INDEX(DAT!$C$3:$C$26,MATCH(100*MainTour!$A34+RIGHT(BE$1,1),100*DAT!$A$3:$A$26+DAT!$B$3:$B$26,0))</f>
        <v>12</v>
      </c>
      <c r="BF34">
        <f t="array" ref="BF34">INDEX(DAT!$C$3:$C$26,MATCH(100*MainTour!$A34+RIGHT(BF$1,1),100*DAT!$A$3:$A$26+DAT!$B$3:$B$26,0))</f>
        <v>16</v>
      </c>
      <c r="BH34">
        <f t="array" ref="BH34">INDEX(DAT!$C$34:$C$57,MATCH(100*MainTour!$A34+RIGHT(BC$1,1),100*DAT!$A$34:$A$57+DAT!$B$34:$B$57,0))</f>
        <v>4</v>
      </c>
      <c r="BI34">
        <f t="array" ref="BI34">INDEX(DAT!$C$34:$C$57,MATCH(100*MainTour!$A34+RIGHT(BD$1,1),100*DAT!$A$34:$A$57+DAT!$B$34:$B$57,0))</f>
        <v>8</v>
      </c>
      <c r="BJ34">
        <f t="array" ref="BJ34">INDEX(DAT!$C$34:$C$57,MATCH(100*MainTour!$A34+RIGHT(BE$1,1),100*DAT!$A$34:$A$57+DAT!$B$34:$B$57,0))</f>
        <v>12</v>
      </c>
      <c r="BK34">
        <f t="array" ref="BK34">INDEX(DAT!$C$34:$C$57,MATCH(100*MainTour!$A34+RIGHT(BF$1,1),100*DAT!$A$34:$A$57+DAT!$B$34:$B$57,0))</f>
        <v>16</v>
      </c>
      <c r="BM34" t="b">
        <f t="shared" si="14"/>
        <v>1</v>
      </c>
      <c r="BN34" t="b">
        <f t="shared" si="15"/>
        <v>1</v>
      </c>
      <c r="BO34" t="b">
        <f t="shared" si="16"/>
        <v>1</v>
      </c>
      <c r="BP34" t="b">
        <f t="shared" si="17"/>
        <v>1</v>
      </c>
      <c r="BR34">
        <f t="array" ref="BR34">INDEX(DAT!$C$63:$C$86,MATCH(100*MainTour!$A34+RIGHT(BC$1,1),100*DAT!$A$63:$A$86+DAT!$B$63:$B$86,0))</f>
        <v>4</v>
      </c>
      <c r="BS34">
        <f t="array" ref="BS34">INDEX(DAT!$C$63:$C$86,MATCH(100*MainTour!$A34+RIGHT(BD$1,1),100*DAT!$A$63:$A$86+DAT!$B$63:$B$86,0))</f>
        <v>4</v>
      </c>
      <c r="BT34">
        <f t="array" ref="BT34">INDEX(DAT!$C$63:$C$86,MATCH(100*MainTour!$A34+RIGHT(BE$1,1),100*DAT!$A$63:$A$86+DAT!$B$63:$B$86,0))</f>
        <v>4</v>
      </c>
      <c r="BU34">
        <f t="array" ref="BU34">INDEX(DAT!$C$63:$C$86,MATCH(100*MainTour!$A34+RIGHT(BF$1,1),100*DAT!$A$63:$A$86+DAT!$B$63:$B$86,0))</f>
        <v>4</v>
      </c>
      <c r="BW34">
        <f t="array" ref="BW34">INDEX(DAT!$C$92:$C$115,MATCH(100*MainTour!$A34+RIGHT(BC$1,1),100*DAT!$A$92:$A$115+DAT!$B$92:$B$115,0))</f>
        <v>4</v>
      </c>
      <c r="BX34">
        <f t="array" ref="BX34">INDEX(DAT!$C$92:$C$115,MATCH(100*MainTour!$A34+RIGHT(BD$1,1),100*DAT!$A$92:$A$115+DAT!$B$92:$B$115,0))</f>
        <v>4</v>
      </c>
      <c r="BY34">
        <f t="array" ref="BY34">INDEX(DAT!$C$92:$C$115,MATCH(100*MainTour!$A34+RIGHT(BE$1,1),100*DAT!$A$92:$A$115+DAT!$B$92:$B$115,0))</f>
        <v>4</v>
      </c>
      <c r="BZ34">
        <f t="array" ref="BZ34">INDEX(DAT!$C$92:$C$115,MATCH(100*MainTour!$A34+RIGHT(BF$1,1),100*DAT!$A$92:$A$115+DAT!$B$92:$B$115,0))</f>
        <v>4</v>
      </c>
      <c r="CB34" t="b">
        <f t="shared" si="18"/>
        <v>1</v>
      </c>
      <c r="CC34" t="b">
        <f t="shared" si="19"/>
        <v>1</v>
      </c>
      <c r="CD34" t="b">
        <f t="shared" si="20"/>
        <v>1</v>
      </c>
      <c r="CE34" t="b">
        <f t="shared" si="21"/>
        <v>1</v>
      </c>
      <c r="CG34">
        <f t="array" ref="CG34">INDEX(DAT!$C$476:$C$499,MATCH(100*MainTour!$A34+RIGHT(BC$1,1),100*DAT!$A$476:$A$499+DAT!$B$476:$B$499,0))/2</f>
        <v>40</v>
      </c>
      <c r="CH34">
        <f t="array" ref="CH34">INDEX(DAT!$C$476:$C$499,MATCH(100*MainTour!$A34+RIGHT(BD$1,1),100*DAT!$A$476:$A$499+DAT!$B$476:$B$499,0))/2</f>
        <v>80</v>
      </c>
      <c r="CI34">
        <f t="array" ref="CI34">INDEX(DAT!$C$476:$C$499,MATCH(100*MainTour!$A34+RIGHT(BE$1,1),100*DAT!$A$476:$A$499+DAT!$B$476:$B$499,0))/2</f>
        <v>120</v>
      </c>
      <c r="CJ34">
        <f t="array" ref="CJ34">INDEX(DAT!$C$476:$C$499,MATCH(100*MainTour!$A34+RIGHT(BF$1,1),100*DAT!$A$476:$A$499+DAT!$B$476:$B$499,0))/2</f>
        <v>160</v>
      </c>
      <c r="CL34">
        <f t="array" ref="CL34">INDEX(DAT!$C$506:$C$529,MATCH(100*MainTour!$A34+RIGHT(BC$1,1),100*DAT!$A$506:$A$529+DAT!$B$506:$B$529,0))/2</f>
        <v>40</v>
      </c>
      <c r="CM34">
        <f t="array" ref="CM34">INDEX(DAT!$C$506:$C$529,MATCH(100*MainTour!$A34+RIGHT(BD$1,1),100*DAT!$A$506:$A$529+DAT!$B$506:$B$529,0))/2</f>
        <v>80</v>
      </c>
      <c r="CN34">
        <f t="array" ref="CN34">INDEX(DAT!$C$506:$C$529,MATCH(100*MainTour!$A34+RIGHT(BE$1,1),100*DAT!$A$506:$A$529+DAT!$B$506:$B$529,0))/2</f>
        <v>120</v>
      </c>
      <c r="CO34">
        <f t="array" ref="CO34">INDEX(DAT!$C$506:$C$529,MATCH(100*MainTour!$A34+RIGHT(BF$1,1),100*DAT!$A$506:$A$529+DAT!$B$506:$B$529,0))/2</f>
        <v>160</v>
      </c>
      <c r="CQ34" t="b">
        <f t="shared" si="22"/>
        <v>1</v>
      </c>
      <c r="CR34" t="b">
        <f t="shared" si="23"/>
        <v>1</v>
      </c>
      <c r="CS34" t="b">
        <f t="shared" si="24"/>
        <v>1</v>
      </c>
      <c r="CT34" t="b">
        <f t="shared" si="25"/>
        <v>1</v>
      </c>
      <c r="CV34">
        <f t="array" ref="CV34">INDEX(DAT!$C$544:$C$567,MATCH(100*MainTour!$A34+RIGHT(BC$1,1),100*DAT!$A$544:$A$567+DAT!$B$544:$B$567,0))/2</f>
        <v>40</v>
      </c>
      <c r="CW34">
        <f t="array" ref="CW34">INDEX(DAT!$C$544:$C$567,MATCH(100*MainTour!$A34+RIGHT(BD$1,1),100*DAT!$A$544:$A$567+DAT!$B$544:$B$567,0))/2</f>
        <v>40</v>
      </c>
      <c r="CX34">
        <f t="array" ref="CX34">INDEX(DAT!$C$544:$C$567,MATCH(100*MainTour!$A34+RIGHT(BE$1,1),100*DAT!$A$544:$A$567+DAT!$B$544:$B$567,0))/2</f>
        <v>40</v>
      </c>
      <c r="CY34">
        <f t="array" ref="CY34">INDEX(DAT!$C$544:$C$567,MATCH(100*MainTour!$A34+RIGHT(BF$1,1),100*DAT!$A$544:$A$567+DAT!$B$544:$B$567,0))/2</f>
        <v>40</v>
      </c>
      <c r="DA34">
        <f t="array" ref="DA34">INDEX(DAT!$C$573:$C$596,MATCH(100*MainTour!$A34+RIGHT(BC$1,1),100*DAT!$A$573:$A$596+DAT!$B$573:$B$596,0))/2</f>
        <v>40</v>
      </c>
      <c r="DB34">
        <f t="array" ref="DB34">INDEX(DAT!$C$573:$C$596,MATCH(100*MainTour!$A34+RIGHT(BD$1,1),100*DAT!$A$573:$A$596+DAT!$B$573:$B$596,0))/2</f>
        <v>40</v>
      </c>
      <c r="DC34">
        <f t="array" ref="DC34">INDEX(DAT!$C$573:$C$596,MATCH(100*MainTour!$A34+RIGHT(BE$1,1),100*DAT!$A$573:$A$596+DAT!$B$573:$B$596,0))/2</f>
        <v>40</v>
      </c>
      <c r="DD34">
        <f t="array" ref="DD34">INDEX(DAT!$C$573:$C$596,MATCH(100*MainTour!$A34+RIGHT(BF$1,1),100*DAT!$A$573:$A$596+DAT!$B$573:$B$596,0))/2</f>
        <v>40</v>
      </c>
      <c r="DF34" t="b">
        <f t="shared" si="26"/>
        <v>1</v>
      </c>
      <c r="DG34" t="b">
        <f t="shared" si="27"/>
        <v>1</v>
      </c>
      <c r="DH34" t="b">
        <f t="shared" si="28"/>
        <v>1</v>
      </c>
      <c r="DI34" t="b">
        <f t="shared" si="29"/>
        <v>1</v>
      </c>
    </row>
    <row r="35" spans="1:113" x14ac:dyDescent="0.25">
      <c r="A35" s="2">
        <v>5</v>
      </c>
      <c r="B35" s="5" t="s">
        <v>1</v>
      </c>
      <c r="C35" s="2" t="s">
        <v>5</v>
      </c>
      <c r="D35" s="2" t="s">
        <v>5</v>
      </c>
      <c r="E35" s="2" t="s">
        <v>5</v>
      </c>
      <c r="F35" s="2" t="s">
        <v>5</v>
      </c>
      <c r="G35" s="2" t="s">
        <v>65</v>
      </c>
      <c r="H35" s="5" t="s">
        <v>5</v>
      </c>
      <c r="I35" s="5" t="s">
        <v>5</v>
      </c>
      <c r="J35" s="2" t="s">
        <v>5</v>
      </c>
      <c r="K35" s="2" t="s">
        <v>5</v>
      </c>
      <c r="L35" s="2" t="s">
        <v>5</v>
      </c>
      <c r="M35" s="2" t="s">
        <v>5</v>
      </c>
      <c r="N35" s="2" t="s">
        <v>65</v>
      </c>
      <c r="O35" s="5" t="s">
        <v>5</v>
      </c>
      <c r="P35" s="5" t="s">
        <v>5</v>
      </c>
      <c r="Q35" s="2" t="s">
        <v>5</v>
      </c>
      <c r="R35" s="2" t="s">
        <v>65</v>
      </c>
      <c r="S35" s="2" t="s">
        <v>5</v>
      </c>
      <c r="T35" s="2" t="s">
        <v>5</v>
      </c>
      <c r="U35" s="2" t="s">
        <v>5</v>
      </c>
      <c r="V35" s="5" t="s">
        <v>5</v>
      </c>
      <c r="W35" s="5" t="s">
        <v>5</v>
      </c>
      <c r="X35" s="2" t="s">
        <v>65</v>
      </c>
      <c r="Y35" s="2" t="s">
        <v>5</v>
      </c>
      <c r="Z35" s="2" t="s">
        <v>5</v>
      </c>
      <c r="AA35" s="2" t="s">
        <v>5</v>
      </c>
      <c r="AB35" s="2" t="s">
        <v>5</v>
      </c>
      <c r="AC35" s="5" t="s">
        <v>5</v>
      </c>
      <c r="AE35">
        <f t="shared" si="2"/>
        <v>1</v>
      </c>
      <c r="AF35">
        <f t="shared" si="3"/>
        <v>4</v>
      </c>
      <c r="AG35">
        <f t="shared" si="4"/>
        <v>1</v>
      </c>
      <c r="AH35">
        <f t="shared" si="5"/>
        <v>1</v>
      </c>
      <c r="AI35">
        <f t="shared" si="6"/>
        <v>1</v>
      </c>
      <c r="AJ35">
        <f t="shared" si="7"/>
        <v>1</v>
      </c>
      <c r="AK35">
        <f t="shared" si="8"/>
        <v>40</v>
      </c>
      <c r="AL35">
        <f t="shared" si="9"/>
        <v>10</v>
      </c>
      <c r="AM35">
        <f t="shared" si="10"/>
        <v>10</v>
      </c>
      <c r="AN35">
        <f t="shared" si="11"/>
        <v>10</v>
      </c>
      <c r="AO35">
        <f t="shared" si="12"/>
        <v>10</v>
      </c>
      <c r="AQ35">
        <f t="shared" si="13"/>
        <v>0</v>
      </c>
      <c r="AS35">
        <f>SUM($AG35:AG35)</f>
        <v>1</v>
      </c>
      <c r="AT35">
        <f>SUM($AG35:AH35)</f>
        <v>2</v>
      </c>
      <c r="AU35">
        <f>SUM($AG35:AI35)</f>
        <v>3</v>
      </c>
      <c r="AV35">
        <f>SUM($AG35:AJ35)</f>
        <v>4</v>
      </c>
      <c r="AX35">
        <f>SUM($AL35:AL35)</f>
        <v>10</v>
      </c>
      <c r="AY35">
        <f>SUM($AL35:AM35)</f>
        <v>20</v>
      </c>
      <c r="AZ35">
        <f>SUM($AL35:AN35)</f>
        <v>30</v>
      </c>
      <c r="BA35">
        <f>SUM($AL35:AO35)</f>
        <v>40</v>
      </c>
      <c r="BC35">
        <f t="array" ref="BC35">INDEX(DAT!$C$3:$C$26,MATCH(100*MainTour!$A35+RIGHT(BC$1,1),100*DAT!$A$3:$A$26+DAT!$B$3:$B$26,0))</f>
        <v>1</v>
      </c>
      <c r="BD35">
        <f t="array" ref="BD35">INDEX(DAT!$C$3:$C$26,MATCH(100*MainTour!$A35+RIGHT(BD$1,1),100*DAT!$A$3:$A$26+DAT!$B$3:$B$26,0))</f>
        <v>2</v>
      </c>
      <c r="BE35">
        <f t="array" ref="BE35">INDEX(DAT!$C$3:$C$26,MATCH(100*MainTour!$A35+RIGHT(BE$1,1),100*DAT!$A$3:$A$26+DAT!$B$3:$B$26,0))</f>
        <v>3</v>
      </c>
      <c r="BF35">
        <f t="array" ref="BF35">INDEX(DAT!$C$3:$C$26,MATCH(100*MainTour!$A35+RIGHT(BF$1,1),100*DAT!$A$3:$A$26+DAT!$B$3:$B$26,0))</f>
        <v>4</v>
      </c>
      <c r="BH35">
        <f t="array" ref="BH35">INDEX(DAT!$C$34:$C$57,MATCH(100*MainTour!$A35+RIGHT(BC$1,1),100*DAT!$A$34:$A$57+DAT!$B$34:$B$57,0))</f>
        <v>3</v>
      </c>
      <c r="BI35">
        <f t="array" ref="BI35">INDEX(DAT!$C$34:$C$57,MATCH(100*MainTour!$A35+RIGHT(BD$1,1),100*DAT!$A$34:$A$57+DAT!$B$34:$B$57,0))</f>
        <v>6</v>
      </c>
      <c r="BJ35">
        <f t="array" ref="BJ35">INDEX(DAT!$C$34:$C$57,MATCH(100*MainTour!$A35+RIGHT(BE$1,1),100*DAT!$A$34:$A$57+DAT!$B$34:$B$57,0))</f>
        <v>9</v>
      </c>
      <c r="BK35">
        <f t="array" ref="BK35">INDEX(DAT!$C$34:$C$57,MATCH(100*MainTour!$A35+RIGHT(BF$1,1),100*DAT!$A$34:$A$57+DAT!$B$34:$B$57,0))</f>
        <v>12</v>
      </c>
      <c r="BM35" t="b">
        <f t="shared" si="14"/>
        <v>1</v>
      </c>
      <c r="BN35" t="b">
        <f t="shared" si="15"/>
        <v>1</v>
      </c>
      <c r="BO35" t="b">
        <f t="shared" si="16"/>
        <v>1</v>
      </c>
      <c r="BP35" t="b">
        <f t="shared" si="17"/>
        <v>1</v>
      </c>
      <c r="BR35">
        <f t="array" ref="BR35">INDEX(DAT!$C$63:$C$86,MATCH(100*MainTour!$A35+RIGHT(BC$1,1),100*DAT!$A$63:$A$86+DAT!$B$63:$B$86,0))</f>
        <v>1</v>
      </c>
      <c r="BS35">
        <f t="array" ref="BS35">INDEX(DAT!$C$63:$C$86,MATCH(100*MainTour!$A35+RIGHT(BD$1,1),100*DAT!$A$63:$A$86+DAT!$B$63:$B$86,0))</f>
        <v>1</v>
      </c>
      <c r="BT35">
        <f t="array" ref="BT35">INDEX(DAT!$C$63:$C$86,MATCH(100*MainTour!$A35+RIGHT(BE$1,1),100*DAT!$A$63:$A$86+DAT!$B$63:$B$86,0))</f>
        <v>1</v>
      </c>
      <c r="BU35">
        <f t="array" ref="BU35">INDEX(DAT!$C$63:$C$86,MATCH(100*MainTour!$A35+RIGHT(BF$1,1),100*DAT!$A$63:$A$86+DAT!$B$63:$B$86,0))</f>
        <v>1</v>
      </c>
      <c r="BW35">
        <f t="array" ref="BW35">INDEX(DAT!$C$92:$C$115,MATCH(100*MainTour!$A35+RIGHT(BC$1,1),100*DAT!$A$92:$A$115+DAT!$B$92:$B$115,0))</f>
        <v>3</v>
      </c>
      <c r="BX35">
        <f t="array" ref="BX35">INDEX(DAT!$C$92:$C$115,MATCH(100*MainTour!$A35+RIGHT(BD$1,1),100*DAT!$A$92:$A$115+DAT!$B$92:$B$115,0))</f>
        <v>3</v>
      </c>
      <c r="BY35">
        <f t="array" ref="BY35">INDEX(DAT!$C$92:$C$115,MATCH(100*MainTour!$A35+RIGHT(BE$1,1),100*DAT!$A$92:$A$115+DAT!$B$92:$B$115,0))</f>
        <v>3</v>
      </c>
      <c r="BZ35">
        <f t="array" ref="BZ35">INDEX(DAT!$C$92:$C$115,MATCH(100*MainTour!$A35+RIGHT(BF$1,1),100*DAT!$A$92:$A$115+DAT!$B$92:$B$115,0))</f>
        <v>3</v>
      </c>
      <c r="CB35" t="b">
        <f t="shared" si="18"/>
        <v>1</v>
      </c>
      <c r="CC35" t="b">
        <f t="shared" si="19"/>
        <v>1</v>
      </c>
      <c r="CD35" t="b">
        <f t="shared" si="20"/>
        <v>1</v>
      </c>
      <c r="CE35" t="b">
        <f t="shared" si="21"/>
        <v>1</v>
      </c>
      <c r="CG35">
        <f t="array" ref="CG35">INDEX(DAT!$C$476:$C$499,MATCH(100*MainTour!$A35+RIGHT(BC$1,1),100*DAT!$A$476:$A$499+DAT!$B$476:$B$499,0))/2</f>
        <v>10</v>
      </c>
      <c r="CH35">
        <f t="array" ref="CH35">INDEX(DAT!$C$476:$C$499,MATCH(100*MainTour!$A35+RIGHT(BD$1,1),100*DAT!$A$476:$A$499+DAT!$B$476:$B$499,0))/2</f>
        <v>20</v>
      </c>
      <c r="CI35">
        <f t="array" ref="CI35">INDEX(DAT!$C$476:$C$499,MATCH(100*MainTour!$A35+RIGHT(BE$1,1),100*DAT!$A$476:$A$499+DAT!$B$476:$B$499,0))/2</f>
        <v>30</v>
      </c>
      <c r="CJ35">
        <f t="array" ref="CJ35">INDEX(DAT!$C$476:$C$499,MATCH(100*MainTour!$A35+RIGHT(BF$1,1),100*DAT!$A$476:$A$499+DAT!$B$476:$B$499,0))/2</f>
        <v>40</v>
      </c>
      <c r="CL35">
        <f t="array" ref="CL35">INDEX(DAT!$C$506:$C$529,MATCH(100*MainTour!$A35+RIGHT(BC$1,1),100*DAT!$A$506:$A$529+DAT!$B$506:$B$529,0))/2</f>
        <v>30</v>
      </c>
      <c r="CM35">
        <f t="array" ref="CM35">INDEX(DAT!$C$506:$C$529,MATCH(100*MainTour!$A35+RIGHT(BD$1,1),100*DAT!$A$506:$A$529+DAT!$B$506:$B$529,0))/2</f>
        <v>60</v>
      </c>
      <c r="CN35">
        <f t="array" ref="CN35">INDEX(DAT!$C$506:$C$529,MATCH(100*MainTour!$A35+RIGHT(BE$1,1),100*DAT!$A$506:$A$529+DAT!$B$506:$B$529,0))/2</f>
        <v>90</v>
      </c>
      <c r="CO35">
        <f t="array" ref="CO35">INDEX(DAT!$C$506:$C$529,MATCH(100*MainTour!$A35+RIGHT(BF$1,1),100*DAT!$A$506:$A$529+DAT!$B$506:$B$529,0))/2</f>
        <v>120</v>
      </c>
      <c r="CQ35" t="b">
        <f t="shared" si="22"/>
        <v>1</v>
      </c>
      <c r="CR35" t="b">
        <f t="shared" si="23"/>
        <v>1</v>
      </c>
      <c r="CS35" t="b">
        <f t="shared" si="24"/>
        <v>1</v>
      </c>
      <c r="CT35" t="b">
        <f t="shared" si="25"/>
        <v>1</v>
      </c>
      <c r="CV35">
        <f t="array" ref="CV35">INDEX(DAT!$C$544:$C$567,MATCH(100*MainTour!$A35+RIGHT(BC$1,1),100*DAT!$A$544:$A$567+DAT!$B$544:$B$567,0))/2</f>
        <v>10</v>
      </c>
      <c r="CW35">
        <f t="array" ref="CW35">INDEX(DAT!$C$544:$C$567,MATCH(100*MainTour!$A35+RIGHT(BD$1,1),100*DAT!$A$544:$A$567+DAT!$B$544:$B$567,0))/2</f>
        <v>10</v>
      </c>
      <c r="CX35">
        <f t="array" ref="CX35">INDEX(DAT!$C$544:$C$567,MATCH(100*MainTour!$A35+RIGHT(BE$1,1),100*DAT!$A$544:$A$567+DAT!$B$544:$B$567,0))/2</f>
        <v>10</v>
      </c>
      <c r="CY35">
        <f t="array" ref="CY35">INDEX(DAT!$C$544:$C$567,MATCH(100*MainTour!$A35+RIGHT(BF$1,1),100*DAT!$A$544:$A$567+DAT!$B$544:$B$567,0))/2</f>
        <v>10</v>
      </c>
      <c r="DA35">
        <f t="array" ref="DA35">INDEX(DAT!$C$573:$C$596,MATCH(100*MainTour!$A35+RIGHT(BC$1,1),100*DAT!$A$573:$A$596+DAT!$B$573:$B$596,0))/2</f>
        <v>30</v>
      </c>
      <c r="DB35">
        <f t="array" ref="DB35">INDEX(DAT!$C$573:$C$596,MATCH(100*MainTour!$A35+RIGHT(BD$1,1),100*DAT!$A$573:$A$596+DAT!$B$573:$B$596,0))/2</f>
        <v>30</v>
      </c>
      <c r="DC35">
        <f t="array" ref="DC35">INDEX(DAT!$C$573:$C$596,MATCH(100*MainTour!$A35+RIGHT(BE$1,1),100*DAT!$A$573:$A$596+DAT!$B$573:$B$596,0))/2</f>
        <v>30</v>
      </c>
      <c r="DD35">
        <f t="array" ref="DD35">INDEX(DAT!$C$573:$C$596,MATCH(100*MainTour!$A35+RIGHT(BF$1,1),100*DAT!$A$573:$A$596+DAT!$B$573:$B$596,0))/2</f>
        <v>30</v>
      </c>
      <c r="DF35" t="b">
        <f t="shared" si="26"/>
        <v>1</v>
      </c>
      <c r="DG35" t="b">
        <f t="shared" si="27"/>
        <v>1</v>
      </c>
      <c r="DH35" t="b">
        <f t="shared" si="28"/>
        <v>1</v>
      </c>
      <c r="DI35" t="b">
        <f t="shared" si="29"/>
        <v>1</v>
      </c>
    </row>
    <row r="36" spans="1:113" x14ac:dyDescent="0.25">
      <c r="A36" s="2">
        <v>5</v>
      </c>
      <c r="B36" s="5" t="s">
        <v>1</v>
      </c>
      <c r="C36" s="2" t="s">
        <v>5</v>
      </c>
      <c r="D36" s="2" t="s">
        <v>5</v>
      </c>
      <c r="E36" s="2" t="s">
        <v>5</v>
      </c>
      <c r="F36" s="2" t="s">
        <v>5</v>
      </c>
      <c r="G36" s="2" t="s">
        <v>5</v>
      </c>
      <c r="H36" s="5" t="s">
        <v>65</v>
      </c>
      <c r="I36" s="5" t="s">
        <v>65</v>
      </c>
      <c r="J36" s="2" t="s">
        <v>5</v>
      </c>
      <c r="K36" s="2" t="s">
        <v>5</v>
      </c>
      <c r="L36" s="2" t="s">
        <v>5</v>
      </c>
      <c r="M36" s="2" t="s">
        <v>5</v>
      </c>
      <c r="N36" s="2" t="s">
        <v>5</v>
      </c>
      <c r="O36" s="5" t="s">
        <v>5</v>
      </c>
      <c r="P36" s="5" t="s">
        <v>5</v>
      </c>
      <c r="Q36" s="2" t="s">
        <v>5</v>
      </c>
      <c r="R36" s="2" t="s">
        <v>5</v>
      </c>
      <c r="S36" s="2" t="s">
        <v>5</v>
      </c>
      <c r="T36" s="2" t="s">
        <v>5</v>
      </c>
      <c r="U36" s="2" t="s">
        <v>5</v>
      </c>
      <c r="V36" s="5" t="s">
        <v>65</v>
      </c>
      <c r="W36" s="5" t="s">
        <v>65</v>
      </c>
      <c r="X36" s="2" t="s">
        <v>5</v>
      </c>
      <c r="Y36" s="2" t="s">
        <v>5</v>
      </c>
      <c r="Z36" s="2" t="s">
        <v>5</v>
      </c>
      <c r="AA36" s="2" t="s">
        <v>5</v>
      </c>
      <c r="AB36" s="2" t="s">
        <v>65</v>
      </c>
      <c r="AC36" s="5" t="s">
        <v>5</v>
      </c>
      <c r="AE36">
        <f t="shared" si="2"/>
        <v>2</v>
      </c>
      <c r="AF36">
        <f t="shared" si="3"/>
        <v>5</v>
      </c>
      <c r="AG36">
        <f t="shared" si="4"/>
        <v>1</v>
      </c>
      <c r="AH36">
        <f t="shared" si="5"/>
        <v>1</v>
      </c>
      <c r="AI36">
        <f t="shared" si="6"/>
        <v>1</v>
      </c>
      <c r="AJ36">
        <f t="shared" si="7"/>
        <v>2</v>
      </c>
      <c r="AK36">
        <f t="shared" si="8"/>
        <v>50</v>
      </c>
      <c r="AL36">
        <f t="shared" si="9"/>
        <v>10</v>
      </c>
      <c r="AM36">
        <f t="shared" si="10"/>
        <v>10</v>
      </c>
      <c r="AN36">
        <f t="shared" si="11"/>
        <v>10</v>
      </c>
      <c r="AO36">
        <f t="shared" si="12"/>
        <v>20</v>
      </c>
      <c r="AQ36">
        <f t="shared" si="13"/>
        <v>4</v>
      </c>
      <c r="AS36">
        <f>SUM($AG36:AG36)</f>
        <v>1</v>
      </c>
      <c r="AT36">
        <f>SUM($AG36:AH36)</f>
        <v>2</v>
      </c>
      <c r="AU36">
        <f>SUM($AG36:AI36)</f>
        <v>3</v>
      </c>
      <c r="AV36">
        <f>SUM($AG36:AJ36)</f>
        <v>5</v>
      </c>
      <c r="AX36">
        <f>SUM($AL36:AL36)</f>
        <v>10</v>
      </c>
      <c r="AY36">
        <f>SUM($AL36:AM36)</f>
        <v>20</v>
      </c>
      <c r="AZ36">
        <f>SUM($AL36:AN36)</f>
        <v>30</v>
      </c>
      <c r="BA36">
        <f>SUM($AL36:AO36)</f>
        <v>50</v>
      </c>
      <c r="BC36">
        <f t="array" ref="BC36">INDEX(DAT!$C$3:$C$26,MATCH(100*MainTour!$A36+RIGHT(BC$1,1),100*DAT!$A$3:$A$26+DAT!$B$3:$B$26,0))</f>
        <v>1</v>
      </c>
      <c r="BD36">
        <f t="array" ref="BD36">INDEX(DAT!$C$3:$C$26,MATCH(100*MainTour!$A36+RIGHT(BD$1,1),100*DAT!$A$3:$A$26+DAT!$B$3:$B$26,0))</f>
        <v>2</v>
      </c>
      <c r="BE36">
        <f t="array" ref="BE36">INDEX(DAT!$C$3:$C$26,MATCH(100*MainTour!$A36+RIGHT(BE$1,1),100*DAT!$A$3:$A$26+DAT!$B$3:$B$26,0))</f>
        <v>3</v>
      </c>
      <c r="BF36">
        <f t="array" ref="BF36">INDEX(DAT!$C$3:$C$26,MATCH(100*MainTour!$A36+RIGHT(BF$1,1),100*DAT!$A$3:$A$26+DAT!$B$3:$B$26,0))</f>
        <v>4</v>
      </c>
      <c r="BH36">
        <f t="array" ref="BH36">INDEX(DAT!$C$34:$C$57,MATCH(100*MainTour!$A36+RIGHT(BC$1,1),100*DAT!$A$34:$A$57+DAT!$B$34:$B$57,0))</f>
        <v>3</v>
      </c>
      <c r="BI36">
        <f t="array" ref="BI36">INDEX(DAT!$C$34:$C$57,MATCH(100*MainTour!$A36+RIGHT(BD$1,1),100*DAT!$A$34:$A$57+DAT!$B$34:$B$57,0))</f>
        <v>6</v>
      </c>
      <c r="BJ36">
        <f t="array" ref="BJ36">INDEX(DAT!$C$34:$C$57,MATCH(100*MainTour!$A36+RIGHT(BE$1,1),100*DAT!$A$34:$A$57+DAT!$B$34:$B$57,0))</f>
        <v>9</v>
      </c>
      <c r="BK36">
        <f t="array" ref="BK36">INDEX(DAT!$C$34:$C$57,MATCH(100*MainTour!$A36+RIGHT(BF$1,1),100*DAT!$A$34:$A$57+DAT!$B$34:$B$57,0))</f>
        <v>12</v>
      </c>
      <c r="BM36" t="b">
        <f t="shared" si="14"/>
        <v>1</v>
      </c>
      <c r="BN36" t="b">
        <f t="shared" si="15"/>
        <v>1</v>
      </c>
      <c r="BO36" t="b">
        <f t="shared" si="16"/>
        <v>1</v>
      </c>
      <c r="BP36" t="b">
        <f t="shared" si="17"/>
        <v>1</v>
      </c>
      <c r="BR36">
        <f t="array" ref="BR36">INDEX(DAT!$C$63:$C$86,MATCH(100*MainTour!$A36+RIGHT(BC$1,1),100*DAT!$A$63:$A$86+DAT!$B$63:$B$86,0))</f>
        <v>1</v>
      </c>
      <c r="BS36">
        <f t="array" ref="BS36">INDEX(DAT!$C$63:$C$86,MATCH(100*MainTour!$A36+RIGHT(BD$1,1),100*DAT!$A$63:$A$86+DAT!$B$63:$B$86,0))</f>
        <v>1</v>
      </c>
      <c r="BT36">
        <f t="array" ref="BT36">INDEX(DAT!$C$63:$C$86,MATCH(100*MainTour!$A36+RIGHT(BE$1,1),100*DAT!$A$63:$A$86+DAT!$B$63:$B$86,0))</f>
        <v>1</v>
      </c>
      <c r="BU36">
        <f t="array" ref="BU36">INDEX(DAT!$C$63:$C$86,MATCH(100*MainTour!$A36+RIGHT(BF$1,1),100*DAT!$A$63:$A$86+DAT!$B$63:$B$86,0))</f>
        <v>1</v>
      </c>
      <c r="BW36">
        <f t="array" ref="BW36">INDEX(DAT!$C$92:$C$115,MATCH(100*MainTour!$A36+RIGHT(BC$1,1),100*DAT!$A$92:$A$115+DAT!$B$92:$B$115,0))</f>
        <v>3</v>
      </c>
      <c r="BX36">
        <f t="array" ref="BX36">INDEX(DAT!$C$92:$C$115,MATCH(100*MainTour!$A36+RIGHT(BD$1,1),100*DAT!$A$92:$A$115+DAT!$B$92:$B$115,0))</f>
        <v>3</v>
      </c>
      <c r="BY36">
        <f t="array" ref="BY36">INDEX(DAT!$C$92:$C$115,MATCH(100*MainTour!$A36+RIGHT(BE$1,1),100*DAT!$A$92:$A$115+DAT!$B$92:$B$115,0))</f>
        <v>3</v>
      </c>
      <c r="BZ36">
        <f t="array" ref="BZ36">INDEX(DAT!$C$92:$C$115,MATCH(100*MainTour!$A36+RIGHT(BF$1,1),100*DAT!$A$92:$A$115+DAT!$B$92:$B$115,0))</f>
        <v>3</v>
      </c>
      <c r="CB36" t="b">
        <f t="shared" si="18"/>
        <v>1</v>
      </c>
      <c r="CC36" t="b">
        <f t="shared" si="19"/>
        <v>1</v>
      </c>
      <c r="CD36" t="b">
        <f t="shared" si="20"/>
        <v>1</v>
      </c>
      <c r="CE36" t="b">
        <f t="shared" si="21"/>
        <v>1</v>
      </c>
      <c r="CG36">
        <f t="array" ref="CG36">INDEX(DAT!$C$476:$C$499,MATCH(100*MainTour!$A36+RIGHT(BC$1,1),100*DAT!$A$476:$A$499+DAT!$B$476:$B$499,0))/2</f>
        <v>10</v>
      </c>
      <c r="CH36">
        <f t="array" ref="CH36">INDEX(DAT!$C$476:$C$499,MATCH(100*MainTour!$A36+RIGHT(BD$1,1),100*DAT!$A$476:$A$499+DAT!$B$476:$B$499,0))/2</f>
        <v>20</v>
      </c>
      <c r="CI36">
        <f t="array" ref="CI36">INDEX(DAT!$C$476:$C$499,MATCH(100*MainTour!$A36+RIGHT(BE$1,1),100*DAT!$A$476:$A$499+DAT!$B$476:$B$499,0))/2</f>
        <v>30</v>
      </c>
      <c r="CJ36">
        <f t="array" ref="CJ36">INDEX(DAT!$C$476:$C$499,MATCH(100*MainTour!$A36+RIGHT(BF$1,1),100*DAT!$A$476:$A$499+DAT!$B$476:$B$499,0))/2</f>
        <v>40</v>
      </c>
      <c r="CL36">
        <f t="array" ref="CL36">INDEX(DAT!$C$506:$C$529,MATCH(100*MainTour!$A36+RIGHT(BC$1,1),100*DAT!$A$506:$A$529+DAT!$B$506:$B$529,0))/2</f>
        <v>30</v>
      </c>
      <c r="CM36">
        <f t="array" ref="CM36">INDEX(DAT!$C$506:$C$529,MATCH(100*MainTour!$A36+RIGHT(BD$1,1),100*DAT!$A$506:$A$529+DAT!$B$506:$B$529,0))/2</f>
        <v>60</v>
      </c>
      <c r="CN36">
        <f t="array" ref="CN36">INDEX(DAT!$C$506:$C$529,MATCH(100*MainTour!$A36+RIGHT(BE$1,1),100*DAT!$A$506:$A$529+DAT!$B$506:$B$529,0))/2</f>
        <v>90</v>
      </c>
      <c r="CO36">
        <f t="array" ref="CO36">INDEX(DAT!$C$506:$C$529,MATCH(100*MainTour!$A36+RIGHT(BF$1,1),100*DAT!$A$506:$A$529+DAT!$B$506:$B$529,0))/2</f>
        <v>120</v>
      </c>
      <c r="CQ36" t="b">
        <f t="shared" si="22"/>
        <v>1</v>
      </c>
      <c r="CR36" t="b">
        <f t="shared" si="23"/>
        <v>1</v>
      </c>
      <c r="CS36" t="b">
        <f t="shared" si="24"/>
        <v>1</v>
      </c>
      <c r="CT36" t="b">
        <f t="shared" si="25"/>
        <v>1</v>
      </c>
      <c r="CV36">
        <f t="array" ref="CV36">INDEX(DAT!$C$544:$C$567,MATCH(100*MainTour!$A36+RIGHT(BC$1,1),100*DAT!$A$544:$A$567+DAT!$B$544:$B$567,0))/2</f>
        <v>10</v>
      </c>
      <c r="CW36">
        <f t="array" ref="CW36">INDEX(DAT!$C$544:$C$567,MATCH(100*MainTour!$A36+RIGHT(BD$1,1),100*DAT!$A$544:$A$567+DAT!$B$544:$B$567,0))/2</f>
        <v>10</v>
      </c>
      <c r="CX36">
        <f t="array" ref="CX36">INDEX(DAT!$C$544:$C$567,MATCH(100*MainTour!$A36+RIGHT(BE$1,1),100*DAT!$A$544:$A$567+DAT!$B$544:$B$567,0))/2</f>
        <v>10</v>
      </c>
      <c r="CY36">
        <f t="array" ref="CY36">INDEX(DAT!$C$544:$C$567,MATCH(100*MainTour!$A36+RIGHT(BF$1,1),100*DAT!$A$544:$A$567+DAT!$B$544:$B$567,0))/2</f>
        <v>10</v>
      </c>
      <c r="DA36">
        <f t="array" ref="DA36">INDEX(DAT!$C$573:$C$596,MATCH(100*MainTour!$A36+RIGHT(BC$1,1),100*DAT!$A$573:$A$596+DAT!$B$573:$B$596,0))/2</f>
        <v>30</v>
      </c>
      <c r="DB36">
        <f t="array" ref="DB36">INDEX(DAT!$C$573:$C$596,MATCH(100*MainTour!$A36+RIGHT(BD$1,1),100*DAT!$A$573:$A$596+DAT!$B$573:$B$596,0))/2</f>
        <v>30</v>
      </c>
      <c r="DC36">
        <f t="array" ref="DC36">INDEX(DAT!$C$573:$C$596,MATCH(100*MainTour!$A36+RIGHT(BE$1,1),100*DAT!$A$573:$A$596+DAT!$B$573:$B$596,0))/2</f>
        <v>30</v>
      </c>
      <c r="DD36">
        <f t="array" ref="DD36">INDEX(DAT!$C$573:$C$596,MATCH(100*MainTour!$A36+RIGHT(BF$1,1),100*DAT!$A$573:$A$596+DAT!$B$573:$B$596,0))/2</f>
        <v>30</v>
      </c>
      <c r="DF36" t="b">
        <f t="shared" si="26"/>
        <v>1</v>
      </c>
      <c r="DG36" t="b">
        <f t="shared" si="27"/>
        <v>1</v>
      </c>
      <c r="DH36" t="b">
        <f t="shared" si="28"/>
        <v>1</v>
      </c>
      <c r="DI36" t="b">
        <f t="shared" si="29"/>
        <v>1</v>
      </c>
    </row>
    <row r="37" spans="1:113" x14ac:dyDescent="0.25">
      <c r="A37" s="2">
        <v>1</v>
      </c>
      <c r="B37" s="5" t="s">
        <v>1</v>
      </c>
      <c r="C37" s="2" t="s">
        <v>5</v>
      </c>
      <c r="D37" s="2" t="s">
        <v>66</v>
      </c>
      <c r="E37" s="2" t="s">
        <v>5</v>
      </c>
      <c r="F37" s="2" t="s">
        <v>5</v>
      </c>
      <c r="G37" s="2" t="s">
        <v>5</v>
      </c>
      <c r="H37" s="5" t="s">
        <v>66</v>
      </c>
      <c r="I37" s="5" t="s">
        <v>66</v>
      </c>
      <c r="J37" s="2" t="s">
        <v>5</v>
      </c>
      <c r="K37" s="2" t="s">
        <v>5</v>
      </c>
      <c r="L37" s="2" t="s">
        <v>5</v>
      </c>
      <c r="M37" s="2" t="s">
        <v>66</v>
      </c>
      <c r="N37" s="2" t="s">
        <v>5</v>
      </c>
      <c r="O37" s="5" t="s">
        <v>5</v>
      </c>
      <c r="P37" s="5" t="s">
        <v>5</v>
      </c>
      <c r="Q37" s="2" t="s">
        <v>5</v>
      </c>
      <c r="R37" s="2" t="s">
        <v>66</v>
      </c>
      <c r="S37" s="2" t="s">
        <v>5</v>
      </c>
      <c r="T37" s="2" t="s">
        <v>5</v>
      </c>
      <c r="U37" s="2" t="s">
        <v>5</v>
      </c>
      <c r="V37" s="5" t="s">
        <v>66</v>
      </c>
      <c r="W37" s="5" t="s">
        <v>66</v>
      </c>
      <c r="X37" s="2" t="s">
        <v>5</v>
      </c>
      <c r="Y37" s="2" t="s">
        <v>5</v>
      </c>
      <c r="Z37" s="2" t="s">
        <v>66</v>
      </c>
      <c r="AA37" s="2" t="s">
        <v>5</v>
      </c>
      <c r="AB37" s="2" t="s">
        <v>5</v>
      </c>
      <c r="AC37" s="5" t="s">
        <v>5</v>
      </c>
      <c r="AE37">
        <f t="shared" si="2"/>
        <v>2</v>
      </c>
      <c r="AF37">
        <f t="shared" si="3"/>
        <v>8</v>
      </c>
      <c r="AG37">
        <f t="shared" si="4"/>
        <v>2</v>
      </c>
      <c r="AH37">
        <f t="shared" si="5"/>
        <v>2</v>
      </c>
      <c r="AI37">
        <f t="shared" si="6"/>
        <v>2</v>
      </c>
      <c r="AJ37">
        <f t="shared" si="7"/>
        <v>2</v>
      </c>
      <c r="AK37">
        <f t="shared" si="8"/>
        <v>64</v>
      </c>
      <c r="AL37">
        <f t="shared" si="9"/>
        <v>16</v>
      </c>
      <c r="AM37">
        <f t="shared" si="10"/>
        <v>16</v>
      </c>
      <c r="AN37">
        <f t="shared" si="11"/>
        <v>16</v>
      </c>
      <c r="AO37">
        <f t="shared" si="12"/>
        <v>16</v>
      </c>
      <c r="AQ37">
        <f t="shared" si="13"/>
        <v>2</v>
      </c>
      <c r="AS37">
        <f>SUM($AG37:AG37)</f>
        <v>2</v>
      </c>
      <c r="AT37">
        <f>SUM($AG37:AH37)</f>
        <v>4</v>
      </c>
      <c r="AU37">
        <f>SUM($AG37:AI37)</f>
        <v>6</v>
      </c>
      <c r="AV37">
        <f>SUM($AG37:AJ37)</f>
        <v>8</v>
      </c>
      <c r="AX37">
        <f>SUM($AL37:AL37)</f>
        <v>16</v>
      </c>
      <c r="AY37">
        <f>SUM($AL37:AM37)</f>
        <v>32</v>
      </c>
      <c r="AZ37">
        <f>SUM($AL37:AN37)</f>
        <v>48</v>
      </c>
      <c r="BA37">
        <f>SUM($AL37:AO37)</f>
        <v>64</v>
      </c>
      <c r="BC37">
        <f t="array" ref="BC37">INDEX(DAT!$C$3:$C$26,MATCH(100*MainTour!$A37+RIGHT(BC$1,1),100*DAT!$A$3:$A$26+DAT!$B$3:$B$26,0))</f>
        <v>2</v>
      </c>
      <c r="BD37">
        <f t="array" ref="BD37">INDEX(DAT!$C$3:$C$26,MATCH(100*MainTour!$A37+RIGHT(BD$1,1),100*DAT!$A$3:$A$26+DAT!$B$3:$B$26,0))</f>
        <v>4</v>
      </c>
      <c r="BE37">
        <f t="array" ref="BE37">INDEX(DAT!$C$3:$C$26,MATCH(100*MainTour!$A37+RIGHT(BE$1,1),100*DAT!$A$3:$A$26+DAT!$B$3:$B$26,0))</f>
        <v>6</v>
      </c>
      <c r="BF37">
        <f t="array" ref="BF37">INDEX(DAT!$C$3:$C$26,MATCH(100*MainTour!$A37+RIGHT(BF$1,1),100*DAT!$A$3:$A$26+DAT!$B$3:$B$26,0))</f>
        <v>8</v>
      </c>
      <c r="BH37">
        <f t="array" ref="BH37">INDEX(DAT!$C$34:$C$57,MATCH(100*MainTour!$A37+RIGHT(BC$1,1),100*DAT!$A$34:$A$57+DAT!$B$34:$B$57,0))</f>
        <v>5</v>
      </c>
      <c r="BI37">
        <f t="array" ref="BI37">INDEX(DAT!$C$34:$C$57,MATCH(100*MainTour!$A37+RIGHT(BD$1,1),100*DAT!$A$34:$A$57+DAT!$B$34:$B$57,0))</f>
        <v>10</v>
      </c>
      <c r="BJ37">
        <f t="array" ref="BJ37">INDEX(DAT!$C$34:$C$57,MATCH(100*MainTour!$A37+RIGHT(BE$1,1),100*DAT!$A$34:$A$57+DAT!$B$34:$B$57,0))</f>
        <v>15</v>
      </c>
      <c r="BK37">
        <f t="array" ref="BK37">INDEX(DAT!$C$34:$C$57,MATCH(100*MainTour!$A37+RIGHT(BF$1,1),100*DAT!$A$34:$A$57+DAT!$B$34:$B$57,0))</f>
        <v>20</v>
      </c>
      <c r="BM37" t="b">
        <f t="shared" si="14"/>
        <v>1</v>
      </c>
      <c r="BN37" t="b">
        <f t="shared" si="15"/>
        <v>1</v>
      </c>
      <c r="BO37" t="b">
        <f t="shared" si="16"/>
        <v>1</v>
      </c>
      <c r="BP37" t="b">
        <f t="shared" si="17"/>
        <v>1</v>
      </c>
      <c r="BR37">
        <f t="array" ref="BR37">INDEX(DAT!$C$63:$C$86,MATCH(100*MainTour!$A37+RIGHT(BC$1,1),100*DAT!$A$63:$A$86+DAT!$B$63:$B$86,0))</f>
        <v>2</v>
      </c>
      <c r="BS37">
        <f t="array" ref="BS37">INDEX(DAT!$C$63:$C$86,MATCH(100*MainTour!$A37+RIGHT(BD$1,1),100*DAT!$A$63:$A$86+DAT!$B$63:$B$86,0))</f>
        <v>2</v>
      </c>
      <c r="BT37">
        <f t="array" ref="BT37">INDEX(DAT!$C$63:$C$86,MATCH(100*MainTour!$A37+RIGHT(BE$1,1),100*DAT!$A$63:$A$86+DAT!$B$63:$B$86,0))</f>
        <v>2</v>
      </c>
      <c r="BU37">
        <f t="array" ref="BU37">INDEX(DAT!$C$63:$C$86,MATCH(100*MainTour!$A37+RIGHT(BF$1,1),100*DAT!$A$63:$A$86+DAT!$B$63:$B$86,0))</f>
        <v>2</v>
      </c>
      <c r="BW37">
        <f t="array" ref="BW37">INDEX(DAT!$C$92:$C$115,MATCH(100*MainTour!$A37+RIGHT(BC$1,1),100*DAT!$A$92:$A$115+DAT!$B$92:$B$115,0))</f>
        <v>5</v>
      </c>
      <c r="BX37">
        <f t="array" ref="BX37">INDEX(DAT!$C$92:$C$115,MATCH(100*MainTour!$A37+RIGHT(BD$1,1),100*DAT!$A$92:$A$115+DAT!$B$92:$B$115,0))</f>
        <v>5</v>
      </c>
      <c r="BY37">
        <f t="array" ref="BY37">INDEX(DAT!$C$92:$C$115,MATCH(100*MainTour!$A37+RIGHT(BE$1,1),100*DAT!$A$92:$A$115+DAT!$B$92:$B$115,0))</f>
        <v>5</v>
      </c>
      <c r="BZ37">
        <f t="array" ref="BZ37">INDEX(DAT!$C$92:$C$115,MATCH(100*MainTour!$A37+RIGHT(BF$1,1),100*DAT!$A$92:$A$115+DAT!$B$92:$B$115,0))</f>
        <v>5</v>
      </c>
      <c r="CB37" t="b">
        <f t="shared" si="18"/>
        <v>1</v>
      </c>
      <c r="CC37" t="b">
        <f t="shared" si="19"/>
        <v>1</v>
      </c>
      <c r="CD37" t="b">
        <f t="shared" si="20"/>
        <v>1</v>
      </c>
      <c r="CE37" t="b">
        <f t="shared" si="21"/>
        <v>1</v>
      </c>
      <c r="CG37">
        <f t="array" ref="CG37">INDEX(DAT!$C$476:$C$499,MATCH(100*MainTour!$A37+RIGHT(BC$1,1),100*DAT!$A$476:$A$499+DAT!$B$476:$B$499,0))/2</f>
        <v>8</v>
      </c>
      <c r="CH37">
        <f t="array" ref="CH37">INDEX(DAT!$C$476:$C$499,MATCH(100*MainTour!$A37+RIGHT(BD$1,1),100*DAT!$A$476:$A$499+DAT!$B$476:$B$499,0))/2</f>
        <v>16</v>
      </c>
      <c r="CI37">
        <f t="array" ref="CI37">INDEX(DAT!$C$476:$C$499,MATCH(100*MainTour!$A37+RIGHT(BE$1,1),100*DAT!$A$476:$A$499+DAT!$B$476:$B$499,0))/2</f>
        <v>24</v>
      </c>
      <c r="CJ37">
        <f t="array" ref="CJ37">INDEX(DAT!$C$476:$C$499,MATCH(100*MainTour!$A37+RIGHT(BF$1,1),100*DAT!$A$476:$A$499+DAT!$B$476:$B$499,0))/2</f>
        <v>32</v>
      </c>
      <c r="CL37">
        <f t="array" ref="CL37">INDEX(DAT!$C$506:$C$529,MATCH(100*MainTour!$A37+RIGHT(BC$1,1),100*DAT!$A$506:$A$529+DAT!$B$506:$B$529,0))/2</f>
        <v>32</v>
      </c>
      <c r="CM37">
        <f t="array" ref="CM37">INDEX(DAT!$C$506:$C$529,MATCH(100*MainTour!$A37+RIGHT(BD$1,1),100*DAT!$A$506:$A$529+DAT!$B$506:$B$529,0))/2</f>
        <v>64</v>
      </c>
      <c r="CN37">
        <f t="array" ref="CN37">INDEX(DAT!$C$506:$C$529,MATCH(100*MainTour!$A37+RIGHT(BE$1,1),100*DAT!$A$506:$A$529+DAT!$B$506:$B$529,0))/2</f>
        <v>96</v>
      </c>
      <c r="CO37">
        <f t="array" ref="CO37">INDEX(DAT!$C$506:$C$529,MATCH(100*MainTour!$A37+RIGHT(BF$1,1),100*DAT!$A$506:$A$529+DAT!$B$506:$B$529,0))/2</f>
        <v>128</v>
      </c>
      <c r="CQ37" t="b">
        <f t="shared" si="22"/>
        <v>1</v>
      </c>
      <c r="CR37" t="b">
        <f t="shared" si="23"/>
        <v>1</v>
      </c>
      <c r="CS37" t="b">
        <f t="shared" si="24"/>
        <v>1</v>
      </c>
      <c r="CT37" t="b">
        <f t="shared" si="25"/>
        <v>1</v>
      </c>
      <c r="CV37">
        <f t="array" ref="CV37">INDEX(DAT!$C$544:$C$567,MATCH(100*MainTour!$A37+RIGHT(BC$1,1),100*DAT!$A$544:$A$567+DAT!$B$544:$B$567,0))/2</f>
        <v>8</v>
      </c>
      <c r="CW37">
        <f t="array" ref="CW37">INDEX(DAT!$C$544:$C$567,MATCH(100*MainTour!$A37+RIGHT(BD$1,1),100*DAT!$A$544:$A$567+DAT!$B$544:$B$567,0))/2</f>
        <v>8</v>
      </c>
      <c r="CX37">
        <f t="array" ref="CX37">INDEX(DAT!$C$544:$C$567,MATCH(100*MainTour!$A37+RIGHT(BE$1,1),100*DAT!$A$544:$A$567+DAT!$B$544:$B$567,0))/2</f>
        <v>8</v>
      </c>
      <c r="CY37">
        <f t="array" ref="CY37">INDEX(DAT!$C$544:$C$567,MATCH(100*MainTour!$A37+RIGHT(BF$1,1),100*DAT!$A$544:$A$567+DAT!$B$544:$B$567,0))/2</f>
        <v>8</v>
      </c>
      <c r="DA37">
        <f t="array" ref="DA37">INDEX(DAT!$C$573:$C$596,MATCH(100*MainTour!$A37+RIGHT(BC$1,1),100*DAT!$A$573:$A$596+DAT!$B$573:$B$596,0))/2</f>
        <v>32</v>
      </c>
      <c r="DB37">
        <f t="array" ref="DB37">INDEX(DAT!$C$573:$C$596,MATCH(100*MainTour!$A37+RIGHT(BD$1,1),100*DAT!$A$573:$A$596+DAT!$B$573:$B$596,0))/2</f>
        <v>32</v>
      </c>
      <c r="DC37">
        <f t="array" ref="DC37">INDEX(DAT!$C$573:$C$596,MATCH(100*MainTour!$A37+RIGHT(BE$1,1),100*DAT!$A$573:$A$596+DAT!$B$573:$B$596,0))/2</f>
        <v>32</v>
      </c>
      <c r="DD37">
        <f t="array" ref="DD37">INDEX(DAT!$C$573:$C$596,MATCH(100*MainTour!$A37+RIGHT(BF$1,1),100*DAT!$A$573:$A$596+DAT!$B$573:$B$596,0))/2</f>
        <v>32</v>
      </c>
      <c r="DF37" t="b">
        <f t="shared" si="26"/>
        <v>1</v>
      </c>
      <c r="DG37" t="b">
        <f t="shared" si="27"/>
        <v>1</v>
      </c>
      <c r="DH37" t="b">
        <f t="shared" si="28"/>
        <v>1</v>
      </c>
      <c r="DI37" t="b">
        <f t="shared" si="29"/>
        <v>1</v>
      </c>
    </row>
    <row r="38" spans="1:113" x14ac:dyDescent="0.25">
      <c r="A38" s="2">
        <v>1</v>
      </c>
      <c r="B38" s="5" t="s">
        <v>1</v>
      </c>
      <c r="C38" s="2" t="s">
        <v>5</v>
      </c>
      <c r="D38" s="2" t="s">
        <v>5</v>
      </c>
      <c r="E38" s="2" t="s">
        <v>5</v>
      </c>
      <c r="F38" s="2" t="s">
        <v>66</v>
      </c>
      <c r="G38" s="2" t="s">
        <v>5</v>
      </c>
      <c r="H38" s="5" t="s">
        <v>66</v>
      </c>
      <c r="I38" s="5" t="s">
        <v>67</v>
      </c>
      <c r="J38" s="2" t="s">
        <v>5</v>
      </c>
      <c r="K38" s="2" t="s">
        <v>66</v>
      </c>
      <c r="L38" s="2" t="s">
        <v>5</v>
      </c>
      <c r="M38" s="2" t="s">
        <v>5</v>
      </c>
      <c r="N38" s="2" t="s">
        <v>5</v>
      </c>
      <c r="O38" s="5" t="s">
        <v>5</v>
      </c>
      <c r="P38" s="5" t="s">
        <v>5</v>
      </c>
      <c r="Q38" s="2" t="s">
        <v>5</v>
      </c>
      <c r="R38" s="2" t="s">
        <v>66</v>
      </c>
      <c r="S38" s="2" t="s">
        <v>5</v>
      </c>
      <c r="T38" s="2" t="s">
        <v>5</v>
      </c>
      <c r="U38" s="2" t="s">
        <v>5</v>
      </c>
      <c r="V38" s="5" t="s">
        <v>66</v>
      </c>
      <c r="W38" s="5" t="s">
        <v>67</v>
      </c>
      <c r="X38" s="2" t="s">
        <v>5</v>
      </c>
      <c r="Y38" s="2" t="s">
        <v>5</v>
      </c>
      <c r="Z38" s="2" t="s">
        <v>66</v>
      </c>
      <c r="AA38" s="2" t="s">
        <v>5</v>
      </c>
      <c r="AB38" s="2" t="s">
        <v>5</v>
      </c>
      <c r="AC38" s="5" t="s">
        <v>5</v>
      </c>
      <c r="AE38">
        <f t="shared" si="2"/>
        <v>2</v>
      </c>
      <c r="AF38">
        <f t="shared" si="3"/>
        <v>8</v>
      </c>
      <c r="AG38">
        <f t="shared" si="4"/>
        <v>2</v>
      </c>
      <c r="AH38">
        <f t="shared" si="5"/>
        <v>2</v>
      </c>
      <c r="AI38">
        <f t="shared" si="6"/>
        <v>2</v>
      </c>
      <c r="AJ38">
        <f t="shared" si="7"/>
        <v>2</v>
      </c>
      <c r="AK38">
        <f t="shared" si="8"/>
        <v>56</v>
      </c>
      <c r="AL38">
        <f t="shared" si="9"/>
        <v>16</v>
      </c>
      <c r="AM38">
        <f t="shared" si="10"/>
        <v>12</v>
      </c>
      <c r="AN38">
        <f t="shared" si="11"/>
        <v>16</v>
      </c>
      <c r="AO38">
        <f t="shared" si="12"/>
        <v>12</v>
      </c>
      <c r="AQ38">
        <f t="shared" si="13"/>
        <v>2</v>
      </c>
      <c r="AS38">
        <f>SUM($AG38:AG38)</f>
        <v>2</v>
      </c>
      <c r="AT38">
        <f>SUM($AG38:AH38)</f>
        <v>4</v>
      </c>
      <c r="AU38">
        <f>SUM($AG38:AI38)</f>
        <v>6</v>
      </c>
      <c r="AV38">
        <f>SUM($AG38:AJ38)</f>
        <v>8</v>
      </c>
      <c r="AX38">
        <f>SUM($AL38:AL38)</f>
        <v>16</v>
      </c>
      <c r="AY38">
        <f>SUM($AL38:AM38)</f>
        <v>28</v>
      </c>
      <c r="AZ38">
        <f>SUM($AL38:AN38)</f>
        <v>44</v>
      </c>
      <c r="BA38">
        <f>SUM($AL38:AO38)</f>
        <v>56</v>
      </c>
      <c r="BC38">
        <f t="array" ref="BC38">INDEX(DAT!$C$3:$C$26,MATCH(100*MainTour!$A38+RIGHT(BC$1,1),100*DAT!$A$3:$A$26+DAT!$B$3:$B$26,0))</f>
        <v>2</v>
      </c>
      <c r="BD38">
        <f t="array" ref="BD38">INDEX(DAT!$C$3:$C$26,MATCH(100*MainTour!$A38+RIGHT(BD$1,1),100*DAT!$A$3:$A$26+DAT!$B$3:$B$26,0))</f>
        <v>4</v>
      </c>
      <c r="BE38">
        <f t="array" ref="BE38">INDEX(DAT!$C$3:$C$26,MATCH(100*MainTour!$A38+RIGHT(BE$1,1),100*DAT!$A$3:$A$26+DAT!$B$3:$B$26,0))</f>
        <v>6</v>
      </c>
      <c r="BF38">
        <f t="array" ref="BF38">INDEX(DAT!$C$3:$C$26,MATCH(100*MainTour!$A38+RIGHT(BF$1,1),100*DAT!$A$3:$A$26+DAT!$B$3:$B$26,0))</f>
        <v>8</v>
      </c>
      <c r="BH38">
        <f t="array" ref="BH38">INDEX(DAT!$C$34:$C$57,MATCH(100*MainTour!$A38+RIGHT(BC$1,1),100*DAT!$A$34:$A$57+DAT!$B$34:$B$57,0))</f>
        <v>5</v>
      </c>
      <c r="BI38">
        <f t="array" ref="BI38">INDEX(DAT!$C$34:$C$57,MATCH(100*MainTour!$A38+RIGHT(BD$1,1),100*DAT!$A$34:$A$57+DAT!$B$34:$B$57,0))</f>
        <v>10</v>
      </c>
      <c r="BJ38">
        <f t="array" ref="BJ38">INDEX(DAT!$C$34:$C$57,MATCH(100*MainTour!$A38+RIGHT(BE$1,1),100*DAT!$A$34:$A$57+DAT!$B$34:$B$57,0))</f>
        <v>15</v>
      </c>
      <c r="BK38">
        <f t="array" ref="BK38">INDEX(DAT!$C$34:$C$57,MATCH(100*MainTour!$A38+RIGHT(BF$1,1),100*DAT!$A$34:$A$57+DAT!$B$34:$B$57,0))</f>
        <v>20</v>
      </c>
      <c r="BM38" t="b">
        <f t="shared" si="14"/>
        <v>1</v>
      </c>
      <c r="BN38" t="b">
        <f t="shared" si="15"/>
        <v>1</v>
      </c>
      <c r="BO38" t="b">
        <f t="shared" si="16"/>
        <v>1</v>
      </c>
      <c r="BP38" t="b">
        <f t="shared" si="17"/>
        <v>1</v>
      </c>
      <c r="BR38">
        <f t="array" ref="BR38">INDEX(DAT!$C$63:$C$86,MATCH(100*MainTour!$A38+RIGHT(BC$1,1),100*DAT!$A$63:$A$86+DAT!$B$63:$B$86,0))</f>
        <v>2</v>
      </c>
      <c r="BS38">
        <f t="array" ref="BS38">INDEX(DAT!$C$63:$C$86,MATCH(100*MainTour!$A38+RIGHT(BD$1,1),100*DAT!$A$63:$A$86+DAT!$B$63:$B$86,0))</f>
        <v>2</v>
      </c>
      <c r="BT38">
        <f t="array" ref="BT38">INDEX(DAT!$C$63:$C$86,MATCH(100*MainTour!$A38+RIGHT(BE$1,1),100*DAT!$A$63:$A$86+DAT!$B$63:$B$86,0))</f>
        <v>2</v>
      </c>
      <c r="BU38">
        <f t="array" ref="BU38">INDEX(DAT!$C$63:$C$86,MATCH(100*MainTour!$A38+RIGHT(BF$1,1),100*DAT!$A$63:$A$86+DAT!$B$63:$B$86,0))</f>
        <v>2</v>
      </c>
      <c r="BW38">
        <f t="array" ref="BW38">INDEX(DAT!$C$92:$C$115,MATCH(100*MainTour!$A38+RIGHT(BC$1,1),100*DAT!$A$92:$A$115+DAT!$B$92:$B$115,0))</f>
        <v>5</v>
      </c>
      <c r="BX38">
        <f t="array" ref="BX38">INDEX(DAT!$C$92:$C$115,MATCH(100*MainTour!$A38+RIGHT(BD$1,1),100*DAT!$A$92:$A$115+DAT!$B$92:$B$115,0))</f>
        <v>5</v>
      </c>
      <c r="BY38">
        <f t="array" ref="BY38">INDEX(DAT!$C$92:$C$115,MATCH(100*MainTour!$A38+RIGHT(BE$1,1),100*DAT!$A$92:$A$115+DAT!$B$92:$B$115,0))</f>
        <v>5</v>
      </c>
      <c r="BZ38">
        <f t="array" ref="BZ38">INDEX(DAT!$C$92:$C$115,MATCH(100*MainTour!$A38+RIGHT(BF$1,1),100*DAT!$A$92:$A$115+DAT!$B$92:$B$115,0))</f>
        <v>5</v>
      </c>
      <c r="CB38" t="b">
        <f t="shared" si="18"/>
        <v>1</v>
      </c>
      <c r="CC38" t="b">
        <f t="shared" si="19"/>
        <v>1</v>
      </c>
      <c r="CD38" t="b">
        <f t="shared" si="20"/>
        <v>1</v>
      </c>
      <c r="CE38" t="b">
        <f t="shared" si="21"/>
        <v>1</v>
      </c>
      <c r="CG38">
        <f t="array" ref="CG38">INDEX(DAT!$C$476:$C$499,MATCH(100*MainTour!$A38+RIGHT(BC$1,1),100*DAT!$A$476:$A$499+DAT!$B$476:$B$499,0))/2</f>
        <v>8</v>
      </c>
      <c r="CH38">
        <f t="array" ref="CH38">INDEX(DAT!$C$476:$C$499,MATCH(100*MainTour!$A38+RIGHT(BD$1,1),100*DAT!$A$476:$A$499+DAT!$B$476:$B$499,0))/2</f>
        <v>16</v>
      </c>
      <c r="CI38">
        <f t="array" ref="CI38">INDEX(DAT!$C$476:$C$499,MATCH(100*MainTour!$A38+RIGHT(BE$1,1),100*DAT!$A$476:$A$499+DAT!$B$476:$B$499,0))/2</f>
        <v>24</v>
      </c>
      <c r="CJ38">
        <f t="array" ref="CJ38">INDEX(DAT!$C$476:$C$499,MATCH(100*MainTour!$A38+RIGHT(BF$1,1),100*DAT!$A$476:$A$499+DAT!$B$476:$B$499,0))/2</f>
        <v>32</v>
      </c>
      <c r="CL38">
        <f t="array" ref="CL38">INDEX(DAT!$C$506:$C$529,MATCH(100*MainTour!$A38+RIGHT(BC$1,1),100*DAT!$A$506:$A$529+DAT!$B$506:$B$529,0))/2</f>
        <v>32</v>
      </c>
      <c r="CM38">
        <f t="array" ref="CM38">INDEX(DAT!$C$506:$C$529,MATCH(100*MainTour!$A38+RIGHT(BD$1,1),100*DAT!$A$506:$A$529+DAT!$B$506:$B$529,0))/2</f>
        <v>64</v>
      </c>
      <c r="CN38">
        <f t="array" ref="CN38">INDEX(DAT!$C$506:$C$529,MATCH(100*MainTour!$A38+RIGHT(BE$1,1),100*DAT!$A$506:$A$529+DAT!$B$506:$B$529,0))/2</f>
        <v>96</v>
      </c>
      <c r="CO38">
        <f t="array" ref="CO38">INDEX(DAT!$C$506:$C$529,MATCH(100*MainTour!$A38+RIGHT(BF$1,1),100*DAT!$A$506:$A$529+DAT!$B$506:$B$529,0))/2</f>
        <v>128</v>
      </c>
      <c r="CQ38" t="b">
        <f t="shared" si="22"/>
        <v>1</v>
      </c>
      <c r="CR38" t="b">
        <f t="shared" si="23"/>
        <v>1</v>
      </c>
      <c r="CS38" t="b">
        <f t="shared" si="24"/>
        <v>1</v>
      </c>
      <c r="CT38" t="b">
        <f t="shared" si="25"/>
        <v>1</v>
      </c>
      <c r="CV38">
        <f t="array" ref="CV38">INDEX(DAT!$C$544:$C$567,MATCH(100*MainTour!$A38+RIGHT(BC$1,1),100*DAT!$A$544:$A$567+DAT!$B$544:$B$567,0))/2</f>
        <v>8</v>
      </c>
      <c r="CW38">
        <f t="array" ref="CW38">INDEX(DAT!$C$544:$C$567,MATCH(100*MainTour!$A38+RIGHT(BD$1,1),100*DAT!$A$544:$A$567+DAT!$B$544:$B$567,0))/2</f>
        <v>8</v>
      </c>
      <c r="CX38">
        <f t="array" ref="CX38">INDEX(DAT!$C$544:$C$567,MATCH(100*MainTour!$A38+RIGHT(BE$1,1),100*DAT!$A$544:$A$567+DAT!$B$544:$B$567,0))/2</f>
        <v>8</v>
      </c>
      <c r="CY38">
        <f t="array" ref="CY38">INDEX(DAT!$C$544:$C$567,MATCH(100*MainTour!$A38+RIGHT(BF$1,1),100*DAT!$A$544:$A$567+DAT!$B$544:$B$567,0))/2</f>
        <v>8</v>
      </c>
      <c r="DA38">
        <f t="array" ref="DA38">INDEX(DAT!$C$573:$C$596,MATCH(100*MainTour!$A38+RIGHT(BC$1,1),100*DAT!$A$573:$A$596+DAT!$B$573:$B$596,0))/2</f>
        <v>32</v>
      </c>
      <c r="DB38">
        <f t="array" ref="DB38">INDEX(DAT!$C$573:$C$596,MATCH(100*MainTour!$A38+RIGHT(BD$1,1),100*DAT!$A$573:$A$596+DAT!$B$573:$B$596,0))/2</f>
        <v>32</v>
      </c>
      <c r="DC38">
        <f t="array" ref="DC38">INDEX(DAT!$C$573:$C$596,MATCH(100*MainTour!$A38+RIGHT(BE$1,1),100*DAT!$A$573:$A$596+DAT!$B$573:$B$596,0))/2</f>
        <v>32</v>
      </c>
      <c r="DD38">
        <f t="array" ref="DD38">INDEX(DAT!$C$573:$C$596,MATCH(100*MainTour!$A38+RIGHT(BF$1,1),100*DAT!$A$573:$A$596+DAT!$B$573:$B$596,0))/2</f>
        <v>32</v>
      </c>
      <c r="DF38" t="b">
        <f t="shared" si="26"/>
        <v>1</v>
      </c>
      <c r="DG38" t="b">
        <f t="shared" si="27"/>
        <v>1</v>
      </c>
      <c r="DH38" t="b">
        <f t="shared" si="28"/>
        <v>1</v>
      </c>
      <c r="DI38" t="b">
        <f t="shared" si="29"/>
        <v>1</v>
      </c>
    </row>
    <row r="39" spans="1:113" x14ac:dyDescent="0.25">
      <c r="A39" s="2">
        <v>1</v>
      </c>
      <c r="B39" s="5" t="s">
        <v>47</v>
      </c>
      <c r="C39" s="2" t="s">
        <v>5</v>
      </c>
      <c r="D39" s="2" t="s">
        <v>5</v>
      </c>
      <c r="E39" s="2" t="s">
        <v>5</v>
      </c>
      <c r="F39" s="2" t="s">
        <v>66</v>
      </c>
      <c r="G39" s="2" t="s">
        <v>5</v>
      </c>
      <c r="H39" s="5" t="s">
        <v>5</v>
      </c>
      <c r="I39" s="5" t="s">
        <v>5</v>
      </c>
      <c r="J39" s="2" t="s">
        <v>5</v>
      </c>
      <c r="K39" s="2" t="s">
        <v>5</v>
      </c>
      <c r="L39" s="2" t="s">
        <v>5</v>
      </c>
      <c r="M39" s="2" t="s">
        <v>66</v>
      </c>
      <c r="N39" s="2" t="s">
        <v>5</v>
      </c>
      <c r="O39" s="5" t="s">
        <v>66</v>
      </c>
      <c r="P39" s="5" t="s">
        <v>67</v>
      </c>
      <c r="Q39" s="2" t="s">
        <v>5</v>
      </c>
      <c r="R39" s="2" t="s">
        <v>5</v>
      </c>
      <c r="S39" s="2" t="s">
        <v>5</v>
      </c>
      <c r="T39" s="2" t="s">
        <v>5</v>
      </c>
      <c r="U39" s="2" t="s">
        <v>66</v>
      </c>
      <c r="V39" s="5" t="s">
        <v>5</v>
      </c>
      <c r="W39" s="5" t="s">
        <v>5</v>
      </c>
      <c r="X39" s="2" t="s">
        <v>5</v>
      </c>
      <c r="Y39" s="2" t="s">
        <v>5</v>
      </c>
      <c r="Z39" s="2" t="s">
        <v>5</v>
      </c>
      <c r="AA39" s="2" t="s">
        <v>5</v>
      </c>
      <c r="AB39" s="2" t="s">
        <v>66</v>
      </c>
      <c r="AC39" s="5" t="s">
        <v>66</v>
      </c>
      <c r="AE39">
        <f t="shared" si="2"/>
        <v>3</v>
      </c>
      <c r="AF39">
        <f t="shared" si="3"/>
        <v>8</v>
      </c>
      <c r="AG39">
        <f t="shared" si="4"/>
        <v>2</v>
      </c>
      <c r="AH39">
        <f t="shared" si="5"/>
        <v>2</v>
      </c>
      <c r="AI39">
        <f t="shared" si="6"/>
        <v>2</v>
      </c>
      <c r="AJ39">
        <f t="shared" si="7"/>
        <v>2</v>
      </c>
      <c r="AK39">
        <f t="shared" si="8"/>
        <v>56</v>
      </c>
      <c r="AL39">
        <f t="shared" si="9"/>
        <v>12</v>
      </c>
      <c r="AM39">
        <f t="shared" si="10"/>
        <v>16</v>
      </c>
      <c r="AN39">
        <f t="shared" si="11"/>
        <v>12</v>
      </c>
      <c r="AO39">
        <f t="shared" si="12"/>
        <v>16</v>
      </c>
      <c r="AQ39">
        <f t="shared" si="13"/>
        <v>4</v>
      </c>
      <c r="AS39">
        <f>SUM($AG39:AG39)</f>
        <v>2</v>
      </c>
      <c r="AT39">
        <f>SUM($AG39:AH39)</f>
        <v>4</v>
      </c>
      <c r="AU39">
        <f>SUM($AG39:AI39)</f>
        <v>6</v>
      </c>
      <c r="AV39">
        <f>SUM($AG39:AJ39)</f>
        <v>8</v>
      </c>
      <c r="AX39">
        <f>SUM($AL39:AL39)</f>
        <v>12</v>
      </c>
      <c r="AY39">
        <f>SUM($AL39:AM39)</f>
        <v>28</v>
      </c>
      <c r="AZ39">
        <f>SUM($AL39:AN39)</f>
        <v>40</v>
      </c>
      <c r="BA39">
        <f>SUM($AL39:AO39)</f>
        <v>56</v>
      </c>
      <c r="BC39">
        <f t="array" ref="BC39">INDEX(DAT!$C$3:$C$26,MATCH(100*MainTour!$A39+RIGHT(BC$1,1),100*DAT!$A$3:$A$26+DAT!$B$3:$B$26,0))</f>
        <v>2</v>
      </c>
      <c r="BD39">
        <f t="array" ref="BD39">INDEX(DAT!$C$3:$C$26,MATCH(100*MainTour!$A39+RIGHT(BD$1,1),100*DAT!$A$3:$A$26+DAT!$B$3:$B$26,0))</f>
        <v>4</v>
      </c>
      <c r="BE39">
        <f t="array" ref="BE39">INDEX(DAT!$C$3:$C$26,MATCH(100*MainTour!$A39+RIGHT(BE$1,1),100*DAT!$A$3:$A$26+DAT!$B$3:$B$26,0))</f>
        <v>6</v>
      </c>
      <c r="BF39">
        <f t="array" ref="BF39">INDEX(DAT!$C$3:$C$26,MATCH(100*MainTour!$A39+RIGHT(BF$1,1),100*DAT!$A$3:$A$26+DAT!$B$3:$B$26,0))</f>
        <v>8</v>
      </c>
      <c r="BH39">
        <f t="array" ref="BH39">INDEX(DAT!$C$34:$C$57,MATCH(100*MainTour!$A39+RIGHT(BC$1,1),100*DAT!$A$34:$A$57+DAT!$B$34:$B$57,0))</f>
        <v>5</v>
      </c>
      <c r="BI39">
        <f t="array" ref="BI39">INDEX(DAT!$C$34:$C$57,MATCH(100*MainTour!$A39+RIGHT(BD$1,1),100*DAT!$A$34:$A$57+DAT!$B$34:$B$57,0))</f>
        <v>10</v>
      </c>
      <c r="BJ39">
        <f t="array" ref="BJ39">INDEX(DAT!$C$34:$C$57,MATCH(100*MainTour!$A39+RIGHT(BE$1,1),100*DAT!$A$34:$A$57+DAT!$B$34:$B$57,0))</f>
        <v>15</v>
      </c>
      <c r="BK39">
        <f t="array" ref="BK39">INDEX(DAT!$C$34:$C$57,MATCH(100*MainTour!$A39+RIGHT(BF$1,1),100*DAT!$A$34:$A$57+DAT!$B$34:$B$57,0))</f>
        <v>20</v>
      </c>
      <c r="BM39" t="b">
        <f t="shared" si="14"/>
        <v>1</v>
      </c>
      <c r="BN39" t="b">
        <f t="shared" si="15"/>
        <v>1</v>
      </c>
      <c r="BO39" t="b">
        <f t="shared" si="16"/>
        <v>1</v>
      </c>
      <c r="BP39" t="b">
        <f t="shared" si="17"/>
        <v>1</v>
      </c>
      <c r="BR39">
        <f t="array" ref="BR39">INDEX(DAT!$C$63:$C$86,MATCH(100*MainTour!$A39+RIGHT(BC$1,1),100*DAT!$A$63:$A$86+DAT!$B$63:$B$86,0))</f>
        <v>2</v>
      </c>
      <c r="BS39">
        <f t="array" ref="BS39">INDEX(DAT!$C$63:$C$86,MATCH(100*MainTour!$A39+RIGHT(BD$1,1),100*DAT!$A$63:$A$86+DAT!$B$63:$B$86,0))</f>
        <v>2</v>
      </c>
      <c r="BT39">
        <f t="array" ref="BT39">INDEX(DAT!$C$63:$C$86,MATCH(100*MainTour!$A39+RIGHT(BE$1,1),100*DAT!$A$63:$A$86+DAT!$B$63:$B$86,0))</f>
        <v>2</v>
      </c>
      <c r="BU39">
        <f t="array" ref="BU39">INDEX(DAT!$C$63:$C$86,MATCH(100*MainTour!$A39+RIGHT(BF$1,1),100*DAT!$A$63:$A$86+DAT!$B$63:$B$86,0))</f>
        <v>2</v>
      </c>
      <c r="BW39">
        <f t="array" ref="BW39">INDEX(DAT!$C$92:$C$115,MATCH(100*MainTour!$A39+RIGHT(BC$1,1),100*DAT!$A$92:$A$115+DAT!$B$92:$B$115,0))</f>
        <v>5</v>
      </c>
      <c r="BX39">
        <f t="array" ref="BX39">INDEX(DAT!$C$92:$C$115,MATCH(100*MainTour!$A39+RIGHT(BD$1,1),100*DAT!$A$92:$A$115+DAT!$B$92:$B$115,0))</f>
        <v>5</v>
      </c>
      <c r="BY39">
        <f t="array" ref="BY39">INDEX(DAT!$C$92:$C$115,MATCH(100*MainTour!$A39+RIGHT(BE$1,1),100*DAT!$A$92:$A$115+DAT!$B$92:$B$115,0))</f>
        <v>5</v>
      </c>
      <c r="BZ39">
        <f t="array" ref="BZ39">INDEX(DAT!$C$92:$C$115,MATCH(100*MainTour!$A39+RIGHT(BF$1,1),100*DAT!$A$92:$A$115+DAT!$B$92:$B$115,0))</f>
        <v>5</v>
      </c>
      <c r="CB39" t="b">
        <f t="shared" si="18"/>
        <v>1</v>
      </c>
      <c r="CC39" t="b">
        <f t="shared" si="19"/>
        <v>1</v>
      </c>
      <c r="CD39" t="b">
        <f t="shared" si="20"/>
        <v>1</v>
      </c>
      <c r="CE39" t="b">
        <f t="shared" si="21"/>
        <v>1</v>
      </c>
      <c r="CG39">
        <f t="array" ref="CG39">INDEX(DAT!$C$476:$C$499,MATCH(100*MainTour!$A39+RIGHT(BC$1,1),100*DAT!$A$476:$A$499+DAT!$B$476:$B$499,0))/2</f>
        <v>8</v>
      </c>
      <c r="CH39">
        <f t="array" ref="CH39">INDEX(DAT!$C$476:$C$499,MATCH(100*MainTour!$A39+RIGHT(BD$1,1),100*DAT!$A$476:$A$499+DAT!$B$476:$B$499,0))/2</f>
        <v>16</v>
      </c>
      <c r="CI39">
        <f t="array" ref="CI39">INDEX(DAT!$C$476:$C$499,MATCH(100*MainTour!$A39+RIGHT(BE$1,1),100*DAT!$A$476:$A$499+DAT!$B$476:$B$499,0))/2</f>
        <v>24</v>
      </c>
      <c r="CJ39">
        <f t="array" ref="CJ39">INDEX(DAT!$C$476:$C$499,MATCH(100*MainTour!$A39+RIGHT(BF$1,1),100*DAT!$A$476:$A$499+DAT!$B$476:$B$499,0))/2</f>
        <v>32</v>
      </c>
      <c r="CL39">
        <f t="array" ref="CL39">INDEX(DAT!$C$506:$C$529,MATCH(100*MainTour!$A39+RIGHT(BC$1,1),100*DAT!$A$506:$A$529+DAT!$B$506:$B$529,0))/2</f>
        <v>32</v>
      </c>
      <c r="CM39">
        <f t="array" ref="CM39">INDEX(DAT!$C$506:$C$529,MATCH(100*MainTour!$A39+RIGHT(BD$1,1),100*DAT!$A$506:$A$529+DAT!$B$506:$B$529,0))/2</f>
        <v>64</v>
      </c>
      <c r="CN39">
        <f t="array" ref="CN39">INDEX(DAT!$C$506:$C$529,MATCH(100*MainTour!$A39+RIGHT(BE$1,1),100*DAT!$A$506:$A$529+DAT!$B$506:$B$529,0))/2</f>
        <v>96</v>
      </c>
      <c r="CO39">
        <f t="array" ref="CO39">INDEX(DAT!$C$506:$C$529,MATCH(100*MainTour!$A39+RIGHT(BF$1,1),100*DAT!$A$506:$A$529+DAT!$B$506:$B$529,0))/2</f>
        <v>128</v>
      </c>
      <c r="CQ39" t="b">
        <f t="shared" si="22"/>
        <v>1</v>
      </c>
      <c r="CR39" t="b">
        <f t="shared" si="23"/>
        <v>1</v>
      </c>
      <c r="CS39" t="b">
        <f t="shared" si="24"/>
        <v>1</v>
      </c>
      <c r="CT39" t="b">
        <f t="shared" si="25"/>
        <v>1</v>
      </c>
      <c r="CV39">
        <f t="array" ref="CV39">INDEX(DAT!$C$544:$C$567,MATCH(100*MainTour!$A39+RIGHT(BC$1,1),100*DAT!$A$544:$A$567+DAT!$B$544:$B$567,0))/2</f>
        <v>8</v>
      </c>
      <c r="CW39">
        <f t="array" ref="CW39">INDEX(DAT!$C$544:$C$567,MATCH(100*MainTour!$A39+RIGHT(BD$1,1),100*DAT!$A$544:$A$567+DAT!$B$544:$B$567,0))/2</f>
        <v>8</v>
      </c>
      <c r="CX39">
        <f t="array" ref="CX39">INDEX(DAT!$C$544:$C$567,MATCH(100*MainTour!$A39+RIGHT(BE$1,1),100*DAT!$A$544:$A$567+DAT!$B$544:$B$567,0))/2</f>
        <v>8</v>
      </c>
      <c r="CY39">
        <f t="array" ref="CY39">INDEX(DAT!$C$544:$C$567,MATCH(100*MainTour!$A39+RIGHT(BF$1,1),100*DAT!$A$544:$A$567+DAT!$B$544:$B$567,0))/2</f>
        <v>8</v>
      </c>
      <c r="DA39">
        <f t="array" ref="DA39">INDEX(DAT!$C$573:$C$596,MATCH(100*MainTour!$A39+RIGHT(BC$1,1),100*DAT!$A$573:$A$596+DAT!$B$573:$B$596,0))/2</f>
        <v>32</v>
      </c>
      <c r="DB39">
        <f t="array" ref="DB39">INDEX(DAT!$C$573:$C$596,MATCH(100*MainTour!$A39+RIGHT(BD$1,1),100*DAT!$A$573:$A$596+DAT!$B$573:$B$596,0))/2</f>
        <v>32</v>
      </c>
      <c r="DC39">
        <f t="array" ref="DC39">INDEX(DAT!$C$573:$C$596,MATCH(100*MainTour!$A39+RIGHT(BE$1,1),100*DAT!$A$573:$A$596+DAT!$B$573:$B$596,0))/2</f>
        <v>32</v>
      </c>
      <c r="DD39">
        <f t="array" ref="DD39">INDEX(DAT!$C$573:$C$596,MATCH(100*MainTour!$A39+RIGHT(BF$1,1),100*DAT!$A$573:$A$596+DAT!$B$573:$B$596,0))/2</f>
        <v>32</v>
      </c>
      <c r="DF39" t="b">
        <f t="shared" si="26"/>
        <v>1</v>
      </c>
      <c r="DG39" t="b">
        <f t="shared" si="27"/>
        <v>1</v>
      </c>
      <c r="DH39" t="b">
        <f t="shared" si="28"/>
        <v>1</v>
      </c>
      <c r="DI39" t="b">
        <f t="shared" si="29"/>
        <v>1</v>
      </c>
    </row>
    <row r="40" spans="1:113" x14ac:dyDescent="0.25">
      <c r="A40" s="2">
        <v>1</v>
      </c>
      <c r="B40" s="5" t="s">
        <v>1</v>
      </c>
      <c r="C40" s="2" t="s">
        <v>5</v>
      </c>
      <c r="D40" s="2" t="s">
        <v>5</v>
      </c>
      <c r="E40" s="2" t="s">
        <v>66</v>
      </c>
      <c r="F40" s="2" t="s">
        <v>5</v>
      </c>
      <c r="G40" s="2" t="s">
        <v>66</v>
      </c>
      <c r="H40" s="5" t="s">
        <v>5</v>
      </c>
      <c r="I40" s="5" t="s">
        <v>5</v>
      </c>
      <c r="J40" s="2" t="s">
        <v>5</v>
      </c>
      <c r="K40" s="2" t="s">
        <v>66</v>
      </c>
      <c r="L40" s="2" t="s">
        <v>5</v>
      </c>
      <c r="M40" s="2" t="s">
        <v>66</v>
      </c>
      <c r="N40" s="2" t="s">
        <v>66</v>
      </c>
      <c r="O40" s="5" t="s">
        <v>5</v>
      </c>
      <c r="P40" s="5" t="s">
        <v>5</v>
      </c>
      <c r="Q40" s="2" t="s">
        <v>66</v>
      </c>
      <c r="R40" s="2" t="s">
        <v>5</v>
      </c>
      <c r="S40" s="2" t="s">
        <v>5</v>
      </c>
      <c r="T40" s="2" t="s">
        <v>5</v>
      </c>
      <c r="U40" s="2" t="s">
        <v>66</v>
      </c>
      <c r="V40" s="5" t="s">
        <v>5</v>
      </c>
      <c r="W40" s="5" t="s">
        <v>5</v>
      </c>
      <c r="X40" s="2" t="s">
        <v>66</v>
      </c>
      <c r="Y40" s="2" t="s">
        <v>5</v>
      </c>
      <c r="Z40" s="2" t="s">
        <v>66</v>
      </c>
      <c r="AA40" s="2" t="s">
        <v>66</v>
      </c>
      <c r="AB40" s="2" t="s">
        <v>5</v>
      </c>
      <c r="AC40" s="5" t="s">
        <v>5</v>
      </c>
      <c r="AE40">
        <f t="shared" si="2"/>
        <v>2</v>
      </c>
      <c r="AF40">
        <f t="shared" si="3"/>
        <v>10</v>
      </c>
      <c r="AG40">
        <f t="shared" si="4"/>
        <v>2</v>
      </c>
      <c r="AH40">
        <f t="shared" si="5"/>
        <v>3</v>
      </c>
      <c r="AI40">
        <f t="shared" si="6"/>
        <v>2</v>
      </c>
      <c r="AJ40">
        <f t="shared" si="7"/>
        <v>3</v>
      </c>
      <c r="AK40">
        <f t="shared" si="8"/>
        <v>80</v>
      </c>
      <c r="AL40">
        <f t="shared" si="9"/>
        <v>16</v>
      </c>
      <c r="AM40">
        <f t="shared" si="10"/>
        <v>24</v>
      </c>
      <c r="AN40">
        <f t="shared" si="11"/>
        <v>16</v>
      </c>
      <c r="AO40">
        <f t="shared" si="12"/>
        <v>24</v>
      </c>
      <c r="AQ40">
        <f t="shared" si="13"/>
        <v>3</v>
      </c>
      <c r="AS40">
        <f>SUM($AG40:AG40)</f>
        <v>2</v>
      </c>
      <c r="AT40">
        <f>SUM($AG40:AH40)</f>
        <v>5</v>
      </c>
      <c r="AU40">
        <f>SUM($AG40:AI40)</f>
        <v>7</v>
      </c>
      <c r="AV40">
        <f>SUM($AG40:AJ40)</f>
        <v>10</v>
      </c>
      <c r="AX40">
        <f>SUM($AL40:AL40)</f>
        <v>16</v>
      </c>
      <c r="AY40">
        <f>SUM($AL40:AM40)</f>
        <v>40</v>
      </c>
      <c r="AZ40">
        <f>SUM($AL40:AN40)</f>
        <v>56</v>
      </c>
      <c r="BA40">
        <f>SUM($AL40:AO40)</f>
        <v>80</v>
      </c>
      <c r="BC40">
        <f t="array" ref="BC40">INDEX(DAT!$C$3:$C$26,MATCH(100*MainTour!$A40+RIGHT(BC$1,1),100*DAT!$A$3:$A$26+DAT!$B$3:$B$26,0))</f>
        <v>2</v>
      </c>
      <c r="BD40">
        <f t="array" ref="BD40">INDEX(DAT!$C$3:$C$26,MATCH(100*MainTour!$A40+RIGHT(BD$1,1),100*DAT!$A$3:$A$26+DAT!$B$3:$B$26,0))</f>
        <v>4</v>
      </c>
      <c r="BE40">
        <f t="array" ref="BE40">INDEX(DAT!$C$3:$C$26,MATCH(100*MainTour!$A40+RIGHT(BE$1,1),100*DAT!$A$3:$A$26+DAT!$B$3:$B$26,0))</f>
        <v>6</v>
      </c>
      <c r="BF40">
        <f t="array" ref="BF40">INDEX(DAT!$C$3:$C$26,MATCH(100*MainTour!$A40+RIGHT(BF$1,1),100*DAT!$A$3:$A$26+DAT!$B$3:$B$26,0))</f>
        <v>8</v>
      </c>
      <c r="BH40">
        <f t="array" ref="BH40">INDEX(DAT!$C$34:$C$57,MATCH(100*MainTour!$A40+RIGHT(BC$1,1),100*DAT!$A$34:$A$57+DAT!$B$34:$B$57,0))</f>
        <v>5</v>
      </c>
      <c r="BI40">
        <f t="array" ref="BI40">INDEX(DAT!$C$34:$C$57,MATCH(100*MainTour!$A40+RIGHT(BD$1,1),100*DAT!$A$34:$A$57+DAT!$B$34:$B$57,0))</f>
        <v>10</v>
      </c>
      <c r="BJ40">
        <f t="array" ref="BJ40">INDEX(DAT!$C$34:$C$57,MATCH(100*MainTour!$A40+RIGHT(BE$1,1),100*DAT!$A$34:$A$57+DAT!$B$34:$B$57,0))</f>
        <v>15</v>
      </c>
      <c r="BK40">
        <f t="array" ref="BK40">INDEX(DAT!$C$34:$C$57,MATCH(100*MainTour!$A40+RIGHT(BF$1,1),100*DAT!$A$34:$A$57+DAT!$B$34:$B$57,0))</f>
        <v>20</v>
      </c>
      <c r="BM40" t="b">
        <f t="shared" si="14"/>
        <v>1</v>
      </c>
      <c r="BN40" t="b">
        <f t="shared" si="15"/>
        <v>1</v>
      </c>
      <c r="BO40" t="b">
        <f t="shared" si="16"/>
        <v>1</v>
      </c>
      <c r="BP40" t="b">
        <f t="shared" si="17"/>
        <v>1</v>
      </c>
      <c r="BR40">
        <f t="array" ref="BR40">INDEX(DAT!$C$63:$C$86,MATCH(100*MainTour!$A40+RIGHT(BC$1,1),100*DAT!$A$63:$A$86+DAT!$B$63:$B$86,0))</f>
        <v>2</v>
      </c>
      <c r="BS40">
        <f t="array" ref="BS40">INDEX(DAT!$C$63:$C$86,MATCH(100*MainTour!$A40+RIGHT(BD$1,1),100*DAT!$A$63:$A$86+DAT!$B$63:$B$86,0))</f>
        <v>2</v>
      </c>
      <c r="BT40">
        <f t="array" ref="BT40">INDEX(DAT!$C$63:$C$86,MATCH(100*MainTour!$A40+RIGHT(BE$1,1),100*DAT!$A$63:$A$86+DAT!$B$63:$B$86,0))</f>
        <v>2</v>
      </c>
      <c r="BU40">
        <f t="array" ref="BU40">INDEX(DAT!$C$63:$C$86,MATCH(100*MainTour!$A40+RIGHT(BF$1,1),100*DAT!$A$63:$A$86+DAT!$B$63:$B$86,0))</f>
        <v>2</v>
      </c>
      <c r="BW40">
        <f t="array" ref="BW40">INDEX(DAT!$C$92:$C$115,MATCH(100*MainTour!$A40+RIGHT(BC$1,1),100*DAT!$A$92:$A$115+DAT!$B$92:$B$115,0))</f>
        <v>5</v>
      </c>
      <c r="BX40">
        <f t="array" ref="BX40">INDEX(DAT!$C$92:$C$115,MATCH(100*MainTour!$A40+RIGHT(BD$1,1),100*DAT!$A$92:$A$115+DAT!$B$92:$B$115,0))</f>
        <v>5</v>
      </c>
      <c r="BY40">
        <f t="array" ref="BY40">INDEX(DAT!$C$92:$C$115,MATCH(100*MainTour!$A40+RIGHT(BE$1,1),100*DAT!$A$92:$A$115+DAT!$B$92:$B$115,0))</f>
        <v>5</v>
      </c>
      <c r="BZ40">
        <f t="array" ref="BZ40">INDEX(DAT!$C$92:$C$115,MATCH(100*MainTour!$A40+RIGHT(BF$1,1),100*DAT!$A$92:$A$115+DAT!$B$92:$B$115,0))</f>
        <v>5</v>
      </c>
      <c r="CB40" t="b">
        <f t="shared" si="18"/>
        <v>1</v>
      </c>
      <c r="CC40" t="b">
        <f t="shared" si="19"/>
        <v>1</v>
      </c>
      <c r="CD40" t="b">
        <f t="shared" si="20"/>
        <v>1</v>
      </c>
      <c r="CE40" t="b">
        <f t="shared" si="21"/>
        <v>1</v>
      </c>
      <c r="CG40">
        <f t="array" ref="CG40">INDEX(DAT!$C$476:$C$499,MATCH(100*MainTour!$A40+RIGHT(BC$1,1),100*DAT!$A$476:$A$499+DAT!$B$476:$B$499,0))/2</f>
        <v>8</v>
      </c>
      <c r="CH40">
        <f t="array" ref="CH40">INDEX(DAT!$C$476:$C$499,MATCH(100*MainTour!$A40+RIGHT(BD$1,1),100*DAT!$A$476:$A$499+DAT!$B$476:$B$499,0))/2</f>
        <v>16</v>
      </c>
      <c r="CI40">
        <f t="array" ref="CI40">INDEX(DAT!$C$476:$C$499,MATCH(100*MainTour!$A40+RIGHT(BE$1,1),100*DAT!$A$476:$A$499+DAT!$B$476:$B$499,0))/2</f>
        <v>24</v>
      </c>
      <c r="CJ40">
        <f t="array" ref="CJ40">INDEX(DAT!$C$476:$C$499,MATCH(100*MainTour!$A40+RIGHT(BF$1,1),100*DAT!$A$476:$A$499+DAT!$B$476:$B$499,0))/2</f>
        <v>32</v>
      </c>
      <c r="CL40">
        <f t="array" ref="CL40">INDEX(DAT!$C$506:$C$529,MATCH(100*MainTour!$A40+RIGHT(BC$1,1),100*DAT!$A$506:$A$529+DAT!$B$506:$B$529,0))/2</f>
        <v>32</v>
      </c>
      <c r="CM40">
        <f t="array" ref="CM40">INDEX(DAT!$C$506:$C$529,MATCH(100*MainTour!$A40+RIGHT(BD$1,1),100*DAT!$A$506:$A$529+DAT!$B$506:$B$529,0))/2</f>
        <v>64</v>
      </c>
      <c r="CN40">
        <f t="array" ref="CN40">INDEX(DAT!$C$506:$C$529,MATCH(100*MainTour!$A40+RIGHT(BE$1,1),100*DAT!$A$506:$A$529+DAT!$B$506:$B$529,0))/2</f>
        <v>96</v>
      </c>
      <c r="CO40">
        <f t="array" ref="CO40">INDEX(DAT!$C$506:$C$529,MATCH(100*MainTour!$A40+RIGHT(BF$1,1),100*DAT!$A$506:$A$529+DAT!$B$506:$B$529,0))/2</f>
        <v>128</v>
      </c>
      <c r="CQ40" t="b">
        <f t="shared" si="22"/>
        <v>1</v>
      </c>
      <c r="CR40" t="b">
        <f t="shared" si="23"/>
        <v>1</v>
      </c>
      <c r="CS40" t="b">
        <f t="shared" si="24"/>
        <v>1</v>
      </c>
      <c r="CT40" t="b">
        <f t="shared" si="25"/>
        <v>1</v>
      </c>
      <c r="CV40">
        <f t="array" ref="CV40">INDEX(DAT!$C$544:$C$567,MATCH(100*MainTour!$A40+RIGHT(BC$1,1),100*DAT!$A$544:$A$567+DAT!$B$544:$B$567,0))/2</f>
        <v>8</v>
      </c>
      <c r="CW40">
        <f t="array" ref="CW40">INDEX(DAT!$C$544:$C$567,MATCH(100*MainTour!$A40+RIGHT(BD$1,1),100*DAT!$A$544:$A$567+DAT!$B$544:$B$567,0))/2</f>
        <v>8</v>
      </c>
      <c r="CX40">
        <f t="array" ref="CX40">INDEX(DAT!$C$544:$C$567,MATCH(100*MainTour!$A40+RIGHT(BE$1,1),100*DAT!$A$544:$A$567+DAT!$B$544:$B$567,0))/2</f>
        <v>8</v>
      </c>
      <c r="CY40">
        <f t="array" ref="CY40">INDEX(DAT!$C$544:$C$567,MATCH(100*MainTour!$A40+RIGHT(BF$1,1),100*DAT!$A$544:$A$567+DAT!$B$544:$B$567,0))/2</f>
        <v>8</v>
      </c>
      <c r="DA40">
        <f t="array" ref="DA40">INDEX(DAT!$C$573:$C$596,MATCH(100*MainTour!$A40+RIGHT(BC$1,1),100*DAT!$A$573:$A$596+DAT!$B$573:$B$596,0))/2</f>
        <v>32</v>
      </c>
      <c r="DB40">
        <f t="array" ref="DB40">INDEX(DAT!$C$573:$C$596,MATCH(100*MainTour!$A40+RIGHT(BD$1,1),100*DAT!$A$573:$A$596+DAT!$B$573:$B$596,0))/2</f>
        <v>32</v>
      </c>
      <c r="DC40">
        <f t="array" ref="DC40">INDEX(DAT!$C$573:$C$596,MATCH(100*MainTour!$A40+RIGHT(BE$1,1),100*DAT!$A$573:$A$596+DAT!$B$573:$B$596,0))/2</f>
        <v>32</v>
      </c>
      <c r="DD40">
        <f t="array" ref="DD40">INDEX(DAT!$C$573:$C$596,MATCH(100*MainTour!$A40+RIGHT(BF$1,1),100*DAT!$A$573:$A$596+DAT!$B$573:$B$596,0))/2</f>
        <v>32</v>
      </c>
      <c r="DF40" t="b">
        <f t="shared" si="26"/>
        <v>1</v>
      </c>
      <c r="DG40" t="b">
        <f t="shared" si="27"/>
        <v>1</v>
      </c>
      <c r="DH40" t="b">
        <f t="shared" si="28"/>
        <v>1</v>
      </c>
      <c r="DI40" t="b">
        <f t="shared" si="29"/>
        <v>1</v>
      </c>
    </row>
    <row r="41" spans="1:113" x14ac:dyDescent="0.25">
      <c r="A41" s="2">
        <v>4</v>
      </c>
      <c r="B41" s="5" t="s">
        <v>1</v>
      </c>
      <c r="C41" s="2" t="s">
        <v>68</v>
      </c>
      <c r="D41" s="2" t="s">
        <v>68</v>
      </c>
      <c r="E41" s="2" t="s">
        <v>5</v>
      </c>
      <c r="F41" s="2" t="s">
        <v>68</v>
      </c>
      <c r="G41" s="2" t="s">
        <v>5</v>
      </c>
      <c r="H41" s="5" t="s">
        <v>68</v>
      </c>
      <c r="I41" s="5" t="s">
        <v>68</v>
      </c>
      <c r="J41" s="2" t="s">
        <v>68</v>
      </c>
      <c r="K41" s="2" t="s">
        <v>5</v>
      </c>
      <c r="L41" s="2" t="s">
        <v>68</v>
      </c>
      <c r="M41" s="2" t="s">
        <v>68</v>
      </c>
      <c r="N41" s="2" t="s">
        <v>5</v>
      </c>
      <c r="O41" s="5" t="s">
        <v>5</v>
      </c>
      <c r="P41" s="5" t="s">
        <v>5</v>
      </c>
      <c r="Q41" s="2" t="s">
        <v>68</v>
      </c>
      <c r="R41" s="2" t="s">
        <v>5</v>
      </c>
      <c r="S41" s="2" t="s">
        <v>68</v>
      </c>
      <c r="T41" s="2" t="s">
        <v>68</v>
      </c>
      <c r="U41" s="2" t="s">
        <v>5</v>
      </c>
      <c r="V41" s="5" t="s">
        <v>68</v>
      </c>
      <c r="W41" s="5" t="s">
        <v>68</v>
      </c>
      <c r="X41" s="2" t="s">
        <v>5</v>
      </c>
      <c r="Y41" s="2" t="s">
        <v>68</v>
      </c>
      <c r="Z41" s="2" t="s">
        <v>5</v>
      </c>
      <c r="AA41" s="2" t="s">
        <v>68</v>
      </c>
      <c r="AB41" s="2" t="s">
        <v>68</v>
      </c>
      <c r="AC41" s="5" t="s">
        <v>5</v>
      </c>
      <c r="AE41">
        <f t="shared" si="2"/>
        <v>3</v>
      </c>
      <c r="AF41">
        <f t="shared" si="3"/>
        <v>16</v>
      </c>
      <c r="AG41">
        <f t="shared" si="4"/>
        <v>4</v>
      </c>
      <c r="AH41">
        <f t="shared" si="5"/>
        <v>4</v>
      </c>
      <c r="AI41">
        <f t="shared" si="6"/>
        <v>4</v>
      </c>
      <c r="AJ41">
        <f t="shared" si="7"/>
        <v>4</v>
      </c>
      <c r="AK41">
        <f t="shared" si="8"/>
        <v>160</v>
      </c>
      <c r="AL41">
        <f t="shared" si="9"/>
        <v>40</v>
      </c>
      <c r="AM41">
        <f t="shared" si="10"/>
        <v>40</v>
      </c>
      <c r="AN41">
        <f t="shared" si="11"/>
        <v>40</v>
      </c>
      <c r="AO41">
        <f t="shared" si="12"/>
        <v>40</v>
      </c>
      <c r="AQ41">
        <f t="shared" si="13"/>
        <v>3</v>
      </c>
      <c r="AS41">
        <f>SUM($AG41:AG41)</f>
        <v>4</v>
      </c>
      <c r="AT41">
        <f>SUM($AG41:AH41)</f>
        <v>8</v>
      </c>
      <c r="AU41">
        <f>SUM($AG41:AI41)</f>
        <v>12</v>
      </c>
      <c r="AV41">
        <f>SUM($AG41:AJ41)</f>
        <v>16</v>
      </c>
      <c r="AX41">
        <f>SUM($AL41:AL41)</f>
        <v>40</v>
      </c>
      <c r="AY41">
        <f>SUM($AL41:AM41)</f>
        <v>80</v>
      </c>
      <c r="AZ41">
        <f>SUM($AL41:AN41)</f>
        <v>120</v>
      </c>
      <c r="BA41">
        <f>SUM($AL41:AO41)</f>
        <v>160</v>
      </c>
      <c r="BC41">
        <f t="array" ref="BC41">INDEX(DAT!$C$3:$C$26,MATCH(100*MainTour!$A41+RIGHT(BC$1,1),100*DAT!$A$3:$A$26+DAT!$B$3:$B$26,0))</f>
        <v>4</v>
      </c>
      <c r="BD41">
        <f t="array" ref="BD41">INDEX(DAT!$C$3:$C$26,MATCH(100*MainTour!$A41+RIGHT(BD$1,1),100*DAT!$A$3:$A$26+DAT!$B$3:$B$26,0))</f>
        <v>8</v>
      </c>
      <c r="BE41">
        <f t="array" ref="BE41">INDEX(DAT!$C$3:$C$26,MATCH(100*MainTour!$A41+RIGHT(BE$1,1),100*DAT!$A$3:$A$26+DAT!$B$3:$B$26,0))</f>
        <v>12</v>
      </c>
      <c r="BF41">
        <f t="array" ref="BF41">INDEX(DAT!$C$3:$C$26,MATCH(100*MainTour!$A41+RIGHT(BF$1,1),100*DAT!$A$3:$A$26+DAT!$B$3:$B$26,0))</f>
        <v>16</v>
      </c>
      <c r="BH41">
        <f t="array" ref="BH41">INDEX(DAT!$C$34:$C$57,MATCH(100*MainTour!$A41+RIGHT(BC$1,1),100*DAT!$A$34:$A$57+DAT!$B$34:$B$57,0))</f>
        <v>4</v>
      </c>
      <c r="BI41">
        <f t="array" ref="BI41">INDEX(DAT!$C$34:$C$57,MATCH(100*MainTour!$A41+RIGHT(BD$1,1),100*DAT!$A$34:$A$57+DAT!$B$34:$B$57,0))</f>
        <v>8</v>
      </c>
      <c r="BJ41">
        <f t="array" ref="BJ41">INDEX(DAT!$C$34:$C$57,MATCH(100*MainTour!$A41+RIGHT(BE$1,1),100*DAT!$A$34:$A$57+DAT!$B$34:$B$57,0))</f>
        <v>12</v>
      </c>
      <c r="BK41">
        <f t="array" ref="BK41">INDEX(DAT!$C$34:$C$57,MATCH(100*MainTour!$A41+RIGHT(BF$1,1),100*DAT!$A$34:$A$57+DAT!$B$34:$B$57,0))</f>
        <v>16</v>
      </c>
      <c r="BM41" t="b">
        <f t="shared" si="14"/>
        <v>1</v>
      </c>
      <c r="BN41" t="b">
        <f t="shared" si="15"/>
        <v>1</v>
      </c>
      <c r="BO41" t="b">
        <f t="shared" si="16"/>
        <v>1</v>
      </c>
      <c r="BP41" t="b">
        <f t="shared" si="17"/>
        <v>1</v>
      </c>
      <c r="BR41">
        <f t="array" ref="BR41">INDEX(DAT!$C$63:$C$86,MATCH(100*MainTour!$A41+RIGHT(BC$1,1),100*DAT!$A$63:$A$86+DAT!$B$63:$B$86,0))</f>
        <v>4</v>
      </c>
      <c r="BS41">
        <f t="array" ref="BS41">INDEX(DAT!$C$63:$C$86,MATCH(100*MainTour!$A41+RIGHT(BD$1,1),100*DAT!$A$63:$A$86+DAT!$B$63:$B$86,0))</f>
        <v>4</v>
      </c>
      <c r="BT41">
        <f t="array" ref="BT41">INDEX(DAT!$C$63:$C$86,MATCH(100*MainTour!$A41+RIGHT(BE$1,1),100*DAT!$A$63:$A$86+DAT!$B$63:$B$86,0))</f>
        <v>4</v>
      </c>
      <c r="BU41">
        <f t="array" ref="BU41">INDEX(DAT!$C$63:$C$86,MATCH(100*MainTour!$A41+RIGHT(BF$1,1),100*DAT!$A$63:$A$86+DAT!$B$63:$B$86,0))</f>
        <v>4</v>
      </c>
      <c r="BW41">
        <f t="array" ref="BW41">INDEX(DAT!$C$92:$C$115,MATCH(100*MainTour!$A41+RIGHT(BC$1,1),100*DAT!$A$92:$A$115+DAT!$B$92:$B$115,0))</f>
        <v>4</v>
      </c>
      <c r="BX41">
        <f t="array" ref="BX41">INDEX(DAT!$C$92:$C$115,MATCH(100*MainTour!$A41+RIGHT(BD$1,1),100*DAT!$A$92:$A$115+DAT!$B$92:$B$115,0))</f>
        <v>4</v>
      </c>
      <c r="BY41">
        <f t="array" ref="BY41">INDEX(DAT!$C$92:$C$115,MATCH(100*MainTour!$A41+RIGHT(BE$1,1),100*DAT!$A$92:$A$115+DAT!$B$92:$B$115,0))</f>
        <v>4</v>
      </c>
      <c r="BZ41">
        <f t="array" ref="BZ41">INDEX(DAT!$C$92:$C$115,MATCH(100*MainTour!$A41+RIGHT(BF$1,1),100*DAT!$A$92:$A$115+DAT!$B$92:$B$115,0))</f>
        <v>4</v>
      </c>
      <c r="CB41" t="b">
        <f t="shared" si="18"/>
        <v>1</v>
      </c>
      <c r="CC41" t="b">
        <f t="shared" si="19"/>
        <v>1</v>
      </c>
      <c r="CD41" t="b">
        <f t="shared" si="20"/>
        <v>1</v>
      </c>
      <c r="CE41" t="b">
        <f t="shared" si="21"/>
        <v>1</v>
      </c>
      <c r="CG41">
        <f t="array" ref="CG41">INDEX(DAT!$C$476:$C$499,MATCH(100*MainTour!$A41+RIGHT(BC$1,1),100*DAT!$A$476:$A$499+DAT!$B$476:$B$499,0))/2</f>
        <v>40</v>
      </c>
      <c r="CH41">
        <f t="array" ref="CH41">INDEX(DAT!$C$476:$C$499,MATCH(100*MainTour!$A41+RIGHT(BD$1,1),100*DAT!$A$476:$A$499+DAT!$B$476:$B$499,0))/2</f>
        <v>80</v>
      </c>
      <c r="CI41">
        <f t="array" ref="CI41">INDEX(DAT!$C$476:$C$499,MATCH(100*MainTour!$A41+RIGHT(BE$1,1),100*DAT!$A$476:$A$499+DAT!$B$476:$B$499,0))/2</f>
        <v>120</v>
      </c>
      <c r="CJ41">
        <f t="array" ref="CJ41">INDEX(DAT!$C$476:$C$499,MATCH(100*MainTour!$A41+RIGHT(BF$1,1),100*DAT!$A$476:$A$499+DAT!$B$476:$B$499,0))/2</f>
        <v>160</v>
      </c>
      <c r="CL41">
        <f t="array" ref="CL41">INDEX(DAT!$C$506:$C$529,MATCH(100*MainTour!$A41+RIGHT(BC$1,1),100*DAT!$A$506:$A$529+DAT!$B$506:$B$529,0))/2</f>
        <v>40</v>
      </c>
      <c r="CM41">
        <f t="array" ref="CM41">INDEX(DAT!$C$506:$C$529,MATCH(100*MainTour!$A41+RIGHT(BD$1,1),100*DAT!$A$506:$A$529+DAT!$B$506:$B$529,0))/2</f>
        <v>80</v>
      </c>
      <c r="CN41">
        <f t="array" ref="CN41">INDEX(DAT!$C$506:$C$529,MATCH(100*MainTour!$A41+RIGHT(BE$1,1),100*DAT!$A$506:$A$529+DAT!$B$506:$B$529,0))/2</f>
        <v>120</v>
      </c>
      <c r="CO41">
        <f t="array" ref="CO41">INDEX(DAT!$C$506:$C$529,MATCH(100*MainTour!$A41+RIGHT(BF$1,1),100*DAT!$A$506:$A$529+DAT!$B$506:$B$529,0))/2</f>
        <v>160</v>
      </c>
      <c r="CQ41" t="b">
        <f t="shared" si="22"/>
        <v>1</v>
      </c>
      <c r="CR41" t="b">
        <f t="shared" si="23"/>
        <v>1</v>
      </c>
      <c r="CS41" t="b">
        <f t="shared" si="24"/>
        <v>1</v>
      </c>
      <c r="CT41" t="b">
        <f t="shared" si="25"/>
        <v>1</v>
      </c>
      <c r="CV41">
        <f t="array" ref="CV41">INDEX(DAT!$C$544:$C$567,MATCH(100*MainTour!$A41+RIGHT(BC$1,1),100*DAT!$A$544:$A$567+DAT!$B$544:$B$567,0))/2</f>
        <v>40</v>
      </c>
      <c r="CW41">
        <f t="array" ref="CW41">INDEX(DAT!$C$544:$C$567,MATCH(100*MainTour!$A41+RIGHT(BD$1,1),100*DAT!$A$544:$A$567+DAT!$B$544:$B$567,0))/2</f>
        <v>40</v>
      </c>
      <c r="CX41">
        <f t="array" ref="CX41">INDEX(DAT!$C$544:$C$567,MATCH(100*MainTour!$A41+RIGHT(BE$1,1),100*DAT!$A$544:$A$567+DAT!$B$544:$B$567,0))/2</f>
        <v>40</v>
      </c>
      <c r="CY41">
        <f t="array" ref="CY41">INDEX(DAT!$C$544:$C$567,MATCH(100*MainTour!$A41+RIGHT(BF$1,1),100*DAT!$A$544:$A$567+DAT!$B$544:$B$567,0))/2</f>
        <v>40</v>
      </c>
      <c r="DA41">
        <f t="array" ref="DA41">INDEX(DAT!$C$573:$C$596,MATCH(100*MainTour!$A41+RIGHT(BC$1,1),100*DAT!$A$573:$A$596+DAT!$B$573:$B$596,0))/2</f>
        <v>40</v>
      </c>
      <c r="DB41">
        <f t="array" ref="DB41">INDEX(DAT!$C$573:$C$596,MATCH(100*MainTour!$A41+RIGHT(BD$1,1),100*DAT!$A$573:$A$596+DAT!$B$573:$B$596,0))/2</f>
        <v>40</v>
      </c>
      <c r="DC41">
        <f t="array" ref="DC41">INDEX(DAT!$C$573:$C$596,MATCH(100*MainTour!$A41+RIGHT(BE$1,1),100*DAT!$A$573:$A$596+DAT!$B$573:$B$596,0))/2</f>
        <v>40</v>
      </c>
      <c r="DD41">
        <f t="array" ref="DD41">INDEX(DAT!$C$573:$C$596,MATCH(100*MainTour!$A41+RIGHT(BF$1,1),100*DAT!$A$573:$A$596+DAT!$B$573:$B$596,0))/2</f>
        <v>40</v>
      </c>
      <c r="DF41" t="b">
        <f t="shared" si="26"/>
        <v>1</v>
      </c>
      <c r="DG41" t="b">
        <f t="shared" si="27"/>
        <v>1</v>
      </c>
      <c r="DH41" t="b">
        <f t="shared" si="28"/>
        <v>1</v>
      </c>
      <c r="DI41" t="b">
        <f t="shared" si="29"/>
        <v>1</v>
      </c>
    </row>
    <row r="42" spans="1:113" x14ac:dyDescent="0.25">
      <c r="A42" s="4">
        <v>2</v>
      </c>
      <c r="B42" s="5" t="s">
        <v>3</v>
      </c>
      <c r="C42" s="2" t="s">
        <v>10</v>
      </c>
      <c r="D42" s="2" t="s">
        <v>10</v>
      </c>
      <c r="E42" s="2" t="s">
        <v>5</v>
      </c>
      <c r="F42" s="2" t="s">
        <v>10</v>
      </c>
      <c r="G42" s="2" t="s">
        <v>10</v>
      </c>
      <c r="H42" s="5" t="s">
        <v>5</v>
      </c>
      <c r="I42" s="5" t="s">
        <v>5</v>
      </c>
      <c r="J42" s="2" t="s">
        <v>10</v>
      </c>
      <c r="K42" s="2" t="s">
        <v>10</v>
      </c>
      <c r="L42" s="2" t="s">
        <v>10</v>
      </c>
      <c r="M42" s="2" t="s">
        <v>5</v>
      </c>
      <c r="N42" s="2" t="s">
        <v>10</v>
      </c>
      <c r="O42" s="5" t="s">
        <v>10</v>
      </c>
      <c r="P42" s="5" t="s">
        <v>10</v>
      </c>
      <c r="Q42" s="2" t="s">
        <v>5</v>
      </c>
      <c r="R42" s="2" t="s">
        <v>10</v>
      </c>
      <c r="S42" s="2" t="s">
        <v>10</v>
      </c>
      <c r="T42" s="2" t="s">
        <v>10</v>
      </c>
      <c r="U42" s="2" t="s">
        <v>10</v>
      </c>
      <c r="V42" s="5" t="s">
        <v>5</v>
      </c>
      <c r="W42" s="5" t="s">
        <v>5</v>
      </c>
      <c r="X42" s="2" t="s">
        <v>10</v>
      </c>
      <c r="Y42" s="2" t="s">
        <v>10</v>
      </c>
      <c r="Z42" s="2" t="s">
        <v>10</v>
      </c>
      <c r="AA42" s="2" t="s">
        <v>10</v>
      </c>
      <c r="AB42" s="2" t="s">
        <v>5</v>
      </c>
      <c r="AC42" s="5" t="s">
        <v>10</v>
      </c>
      <c r="AE42">
        <f t="shared" si="2"/>
        <v>4</v>
      </c>
      <c r="AF42">
        <f t="shared" si="3"/>
        <v>20</v>
      </c>
      <c r="AG42">
        <f t="shared" si="4"/>
        <v>5</v>
      </c>
      <c r="AH42">
        <f t="shared" si="5"/>
        <v>5</v>
      </c>
      <c r="AI42">
        <f t="shared" si="6"/>
        <v>5</v>
      </c>
      <c r="AJ42">
        <f t="shared" si="7"/>
        <v>5</v>
      </c>
      <c r="AK42">
        <f t="shared" si="8"/>
        <v>160</v>
      </c>
      <c r="AL42">
        <f t="shared" si="9"/>
        <v>40</v>
      </c>
      <c r="AM42">
        <f t="shared" si="10"/>
        <v>40</v>
      </c>
      <c r="AN42">
        <f t="shared" si="11"/>
        <v>40</v>
      </c>
      <c r="AO42">
        <f t="shared" si="12"/>
        <v>40</v>
      </c>
      <c r="AQ42">
        <f t="shared" si="13"/>
        <v>5</v>
      </c>
      <c r="AS42">
        <f>SUM($AG42:AG42)</f>
        <v>5</v>
      </c>
      <c r="AT42">
        <f>SUM($AG42:AH42)</f>
        <v>10</v>
      </c>
      <c r="AU42">
        <f>SUM($AG42:AI42)</f>
        <v>15</v>
      </c>
      <c r="AV42">
        <f>SUM($AG42:AJ42)</f>
        <v>20</v>
      </c>
      <c r="AX42">
        <f>SUM($AL42:AL42)</f>
        <v>40</v>
      </c>
      <c r="AY42">
        <f>SUM($AL42:AM42)</f>
        <v>80</v>
      </c>
      <c r="AZ42">
        <f>SUM($AL42:AN42)</f>
        <v>120</v>
      </c>
      <c r="BA42">
        <f>SUM($AL42:AO42)</f>
        <v>160</v>
      </c>
      <c r="BC42">
        <f t="array" ref="BC42">INDEX(DAT!$C$3:$C$26,MATCH(100*MainTour!$A42+RIGHT(BC$1,1),100*DAT!$A$3:$A$26+DAT!$B$3:$B$26,0))</f>
        <v>5</v>
      </c>
      <c r="BD42">
        <f t="array" ref="BD42">INDEX(DAT!$C$3:$C$26,MATCH(100*MainTour!$A42+RIGHT(BD$1,1),100*DAT!$A$3:$A$26+DAT!$B$3:$B$26,0))</f>
        <v>10</v>
      </c>
      <c r="BE42">
        <f t="array" ref="BE42">INDEX(DAT!$C$3:$C$26,MATCH(100*MainTour!$A42+RIGHT(BE$1,1),100*DAT!$A$3:$A$26+DAT!$B$3:$B$26,0))</f>
        <v>15</v>
      </c>
      <c r="BF42">
        <f t="array" ref="BF42">INDEX(DAT!$C$3:$C$26,MATCH(100*MainTour!$A42+RIGHT(BF$1,1),100*DAT!$A$3:$A$26+DAT!$B$3:$B$26,0))</f>
        <v>20</v>
      </c>
      <c r="BH42">
        <f t="array" ref="BH42">INDEX(DAT!$C$34:$C$57,MATCH(100*MainTour!$A42+RIGHT(BC$1,1),100*DAT!$A$34:$A$57+DAT!$B$34:$B$57,0))</f>
        <v>5</v>
      </c>
      <c r="BI42">
        <f t="array" ref="BI42">INDEX(DAT!$C$34:$C$57,MATCH(100*MainTour!$A42+RIGHT(BD$1,1),100*DAT!$A$34:$A$57+DAT!$B$34:$B$57,0))</f>
        <v>10</v>
      </c>
      <c r="BJ42">
        <f t="array" ref="BJ42">INDEX(DAT!$C$34:$C$57,MATCH(100*MainTour!$A42+RIGHT(BE$1,1),100*DAT!$A$34:$A$57+DAT!$B$34:$B$57,0))</f>
        <v>15</v>
      </c>
      <c r="BK42">
        <f t="array" ref="BK42">INDEX(DAT!$C$34:$C$57,MATCH(100*MainTour!$A42+RIGHT(BF$1,1),100*DAT!$A$34:$A$57+DAT!$B$34:$B$57,0))</f>
        <v>20</v>
      </c>
      <c r="BM42" t="b">
        <f t="shared" si="14"/>
        <v>1</v>
      </c>
      <c r="BN42" t="b">
        <f t="shared" si="15"/>
        <v>1</v>
      </c>
      <c r="BO42" t="b">
        <f t="shared" si="16"/>
        <v>1</v>
      </c>
      <c r="BP42" t="b">
        <f t="shared" si="17"/>
        <v>1</v>
      </c>
      <c r="BR42">
        <f t="array" ref="BR42">INDEX(DAT!$C$63:$C$86,MATCH(100*MainTour!$A42+RIGHT(BC$1,1),100*DAT!$A$63:$A$86+DAT!$B$63:$B$86,0))</f>
        <v>5</v>
      </c>
      <c r="BS42">
        <f t="array" ref="BS42">INDEX(DAT!$C$63:$C$86,MATCH(100*MainTour!$A42+RIGHT(BD$1,1),100*DAT!$A$63:$A$86+DAT!$B$63:$B$86,0))</f>
        <v>5</v>
      </c>
      <c r="BT42">
        <f t="array" ref="BT42">INDEX(DAT!$C$63:$C$86,MATCH(100*MainTour!$A42+RIGHT(BE$1,1),100*DAT!$A$63:$A$86+DAT!$B$63:$B$86,0))</f>
        <v>5</v>
      </c>
      <c r="BU42">
        <f t="array" ref="BU42">INDEX(DAT!$C$63:$C$86,MATCH(100*MainTour!$A42+RIGHT(BF$1,1),100*DAT!$A$63:$A$86+DAT!$B$63:$B$86,0))</f>
        <v>5</v>
      </c>
      <c r="BW42">
        <f t="array" ref="BW42">INDEX(DAT!$C$92:$C$115,MATCH(100*MainTour!$A42+RIGHT(BC$1,1),100*DAT!$A$92:$A$115+DAT!$B$92:$B$115,0))</f>
        <v>5</v>
      </c>
      <c r="BX42">
        <f t="array" ref="BX42">INDEX(DAT!$C$92:$C$115,MATCH(100*MainTour!$A42+RIGHT(BD$1,1),100*DAT!$A$92:$A$115+DAT!$B$92:$B$115,0))</f>
        <v>5</v>
      </c>
      <c r="BY42">
        <f t="array" ref="BY42">INDEX(DAT!$C$92:$C$115,MATCH(100*MainTour!$A42+RIGHT(BE$1,1),100*DAT!$A$92:$A$115+DAT!$B$92:$B$115,0))</f>
        <v>5</v>
      </c>
      <c r="BZ42">
        <f t="array" ref="BZ42">INDEX(DAT!$C$92:$C$115,MATCH(100*MainTour!$A42+RIGHT(BF$1,1),100*DAT!$A$92:$A$115+DAT!$B$92:$B$115,0))</f>
        <v>5</v>
      </c>
      <c r="CB42" t="b">
        <f t="shared" si="18"/>
        <v>1</v>
      </c>
      <c r="CC42" t="b">
        <f t="shared" si="19"/>
        <v>1</v>
      </c>
      <c r="CD42" t="b">
        <f t="shared" si="20"/>
        <v>1</v>
      </c>
      <c r="CE42" t="b">
        <f t="shared" si="21"/>
        <v>1</v>
      </c>
      <c r="CG42">
        <f t="array" ref="CG42">INDEX(DAT!$C$476:$C$499,MATCH(100*MainTour!$A42+RIGHT(BC$1,1),100*DAT!$A$476:$A$499+DAT!$B$476:$B$499,0))/2</f>
        <v>40</v>
      </c>
      <c r="CH42">
        <f t="array" ref="CH42">INDEX(DAT!$C$476:$C$499,MATCH(100*MainTour!$A42+RIGHT(BD$1,1),100*DAT!$A$476:$A$499+DAT!$B$476:$B$499,0))/2</f>
        <v>80</v>
      </c>
      <c r="CI42">
        <f t="array" ref="CI42">INDEX(DAT!$C$476:$C$499,MATCH(100*MainTour!$A42+RIGHT(BE$1,1),100*DAT!$A$476:$A$499+DAT!$B$476:$B$499,0))/2</f>
        <v>120</v>
      </c>
      <c r="CJ42">
        <f t="array" ref="CJ42">INDEX(DAT!$C$476:$C$499,MATCH(100*MainTour!$A42+RIGHT(BF$1,1),100*DAT!$A$476:$A$499+DAT!$B$476:$B$499,0))/2</f>
        <v>160</v>
      </c>
      <c r="CL42">
        <f t="array" ref="CL42">INDEX(DAT!$C$506:$C$529,MATCH(100*MainTour!$A42+RIGHT(BC$1,1),100*DAT!$A$506:$A$529+DAT!$B$506:$B$529,0))/2</f>
        <v>40</v>
      </c>
      <c r="CM42">
        <f t="array" ref="CM42">INDEX(DAT!$C$506:$C$529,MATCH(100*MainTour!$A42+RIGHT(BD$1,1),100*DAT!$A$506:$A$529+DAT!$B$506:$B$529,0))/2</f>
        <v>80</v>
      </c>
      <c r="CN42">
        <f t="array" ref="CN42">INDEX(DAT!$C$506:$C$529,MATCH(100*MainTour!$A42+RIGHT(BE$1,1),100*DAT!$A$506:$A$529+DAT!$B$506:$B$529,0))/2</f>
        <v>120</v>
      </c>
      <c r="CO42">
        <f t="array" ref="CO42">INDEX(DAT!$C$506:$C$529,MATCH(100*MainTour!$A42+RIGHT(BF$1,1),100*DAT!$A$506:$A$529+DAT!$B$506:$B$529,0))/2</f>
        <v>160</v>
      </c>
      <c r="CQ42" t="b">
        <f t="shared" si="22"/>
        <v>1</v>
      </c>
      <c r="CR42" t="b">
        <f t="shared" si="23"/>
        <v>1</v>
      </c>
      <c r="CS42" t="b">
        <f t="shared" si="24"/>
        <v>1</v>
      </c>
      <c r="CT42" t="b">
        <f t="shared" si="25"/>
        <v>1</v>
      </c>
      <c r="CV42">
        <f t="array" ref="CV42">INDEX(DAT!$C$544:$C$567,MATCH(100*MainTour!$A42+RIGHT(BC$1,1),100*DAT!$A$544:$A$567+DAT!$B$544:$B$567,0))/2</f>
        <v>40</v>
      </c>
      <c r="CW42">
        <f t="array" ref="CW42">INDEX(DAT!$C$544:$C$567,MATCH(100*MainTour!$A42+RIGHT(BD$1,1),100*DAT!$A$544:$A$567+DAT!$B$544:$B$567,0))/2</f>
        <v>40</v>
      </c>
      <c r="CX42">
        <f t="array" ref="CX42">INDEX(DAT!$C$544:$C$567,MATCH(100*MainTour!$A42+RIGHT(BE$1,1),100*DAT!$A$544:$A$567+DAT!$B$544:$B$567,0))/2</f>
        <v>40</v>
      </c>
      <c r="CY42">
        <f t="array" ref="CY42">INDEX(DAT!$C$544:$C$567,MATCH(100*MainTour!$A42+RIGHT(BF$1,1),100*DAT!$A$544:$A$567+DAT!$B$544:$B$567,0))/2</f>
        <v>40</v>
      </c>
      <c r="DA42">
        <f t="array" ref="DA42">INDEX(DAT!$C$573:$C$596,MATCH(100*MainTour!$A42+RIGHT(BC$1,1),100*DAT!$A$573:$A$596+DAT!$B$573:$B$596,0))/2</f>
        <v>40</v>
      </c>
      <c r="DB42">
        <f t="array" ref="DB42">INDEX(DAT!$C$573:$C$596,MATCH(100*MainTour!$A42+RIGHT(BD$1,1),100*DAT!$A$573:$A$596+DAT!$B$573:$B$596,0))/2</f>
        <v>40</v>
      </c>
      <c r="DC42">
        <f t="array" ref="DC42">INDEX(DAT!$C$573:$C$596,MATCH(100*MainTour!$A42+RIGHT(BE$1,1),100*DAT!$A$573:$A$596+DAT!$B$573:$B$596,0))/2</f>
        <v>40</v>
      </c>
      <c r="DD42">
        <f t="array" ref="DD42">INDEX(DAT!$C$573:$C$596,MATCH(100*MainTour!$A42+RIGHT(BF$1,1),100*DAT!$A$573:$A$596+DAT!$B$573:$B$596,0))/2</f>
        <v>40</v>
      </c>
      <c r="DF42" t="b">
        <f t="shared" si="26"/>
        <v>1</v>
      </c>
      <c r="DG42" t="b">
        <f t="shared" si="27"/>
        <v>1</v>
      </c>
      <c r="DH42" t="b">
        <f t="shared" si="28"/>
        <v>1</v>
      </c>
      <c r="DI42" t="b">
        <f t="shared" si="29"/>
        <v>1</v>
      </c>
    </row>
    <row r="43" spans="1:113" x14ac:dyDescent="0.25">
      <c r="A43" s="2">
        <v>5</v>
      </c>
      <c r="B43" s="5" t="s">
        <v>1</v>
      </c>
      <c r="C43" s="2" t="s">
        <v>5</v>
      </c>
      <c r="D43" s="2" t="s">
        <v>5</v>
      </c>
      <c r="E43" s="2" t="s">
        <v>69</v>
      </c>
      <c r="F43" s="2" t="s">
        <v>5</v>
      </c>
      <c r="G43" s="2" t="s">
        <v>69</v>
      </c>
      <c r="H43" s="5" t="s">
        <v>69</v>
      </c>
      <c r="I43" s="5" t="s">
        <v>69</v>
      </c>
      <c r="J43" s="2" t="s">
        <v>69</v>
      </c>
      <c r="K43" s="2" t="s">
        <v>5</v>
      </c>
      <c r="L43" s="2" t="s">
        <v>5</v>
      </c>
      <c r="M43" s="2" t="s">
        <v>5</v>
      </c>
      <c r="N43" s="2" t="s">
        <v>5</v>
      </c>
      <c r="O43" s="5" t="s">
        <v>5</v>
      </c>
      <c r="P43" s="5" t="s">
        <v>5</v>
      </c>
      <c r="Q43" s="2" t="s">
        <v>69</v>
      </c>
      <c r="R43" s="2" t="s">
        <v>5</v>
      </c>
      <c r="S43" s="2" t="s">
        <v>5</v>
      </c>
      <c r="T43" s="2" t="s">
        <v>5</v>
      </c>
      <c r="U43" s="2" t="s">
        <v>69</v>
      </c>
      <c r="V43" s="5" t="s">
        <v>69</v>
      </c>
      <c r="W43" s="5" t="s">
        <v>69</v>
      </c>
      <c r="X43" s="2" t="s">
        <v>5</v>
      </c>
      <c r="Y43" s="2" t="s">
        <v>5</v>
      </c>
      <c r="Z43" s="2" t="s">
        <v>5</v>
      </c>
      <c r="AA43" s="2" t="s">
        <v>5</v>
      </c>
      <c r="AB43" s="2" t="s">
        <v>5</v>
      </c>
      <c r="AC43" s="5" t="s">
        <v>5</v>
      </c>
      <c r="AE43">
        <f t="shared" si="2"/>
        <v>4</v>
      </c>
      <c r="AF43">
        <f t="shared" si="3"/>
        <v>9</v>
      </c>
      <c r="AG43">
        <f t="shared" si="4"/>
        <v>3</v>
      </c>
      <c r="AH43">
        <f t="shared" si="5"/>
        <v>2</v>
      </c>
      <c r="AI43">
        <f t="shared" si="6"/>
        <v>3</v>
      </c>
      <c r="AJ43">
        <f t="shared" si="7"/>
        <v>1</v>
      </c>
      <c r="AK43">
        <f t="shared" si="8"/>
        <v>90</v>
      </c>
      <c r="AL43">
        <f t="shared" si="9"/>
        <v>30</v>
      </c>
      <c r="AM43">
        <f t="shared" si="10"/>
        <v>20</v>
      </c>
      <c r="AN43">
        <f t="shared" si="11"/>
        <v>30</v>
      </c>
      <c r="AO43">
        <f t="shared" si="12"/>
        <v>10</v>
      </c>
      <c r="AQ43">
        <f t="shared" si="13"/>
        <v>4</v>
      </c>
      <c r="AS43">
        <f>SUM($AG43:AG43)</f>
        <v>3</v>
      </c>
      <c r="AT43">
        <f>SUM($AG43:AH43)</f>
        <v>5</v>
      </c>
      <c r="AU43">
        <f>SUM($AG43:AI43)</f>
        <v>8</v>
      </c>
      <c r="AV43">
        <f>SUM($AG43:AJ43)</f>
        <v>9</v>
      </c>
      <c r="AX43">
        <f>SUM($AL43:AL43)</f>
        <v>30</v>
      </c>
      <c r="AY43">
        <f>SUM($AL43:AM43)</f>
        <v>50</v>
      </c>
      <c r="AZ43">
        <f>SUM($AL43:AN43)</f>
        <v>80</v>
      </c>
      <c r="BA43">
        <f>SUM($AL43:AO43)</f>
        <v>90</v>
      </c>
      <c r="BC43">
        <f t="array" ref="BC43">INDEX(DAT!$C$3:$C$26,MATCH(100*MainTour!$A43+RIGHT(BC$1,1),100*DAT!$A$3:$A$26+DAT!$B$3:$B$26,0))</f>
        <v>1</v>
      </c>
      <c r="BD43">
        <f t="array" ref="BD43">INDEX(DAT!$C$3:$C$26,MATCH(100*MainTour!$A43+RIGHT(BD$1,1),100*DAT!$A$3:$A$26+DAT!$B$3:$B$26,0))</f>
        <v>2</v>
      </c>
      <c r="BE43">
        <f t="array" ref="BE43">INDEX(DAT!$C$3:$C$26,MATCH(100*MainTour!$A43+RIGHT(BE$1,1),100*DAT!$A$3:$A$26+DAT!$B$3:$B$26,0))</f>
        <v>3</v>
      </c>
      <c r="BF43">
        <f t="array" ref="BF43">INDEX(DAT!$C$3:$C$26,MATCH(100*MainTour!$A43+RIGHT(BF$1,1),100*DAT!$A$3:$A$26+DAT!$B$3:$B$26,0))</f>
        <v>4</v>
      </c>
      <c r="BH43">
        <f t="array" ref="BH43">INDEX(DAT!$C$34:$C$57,MATCH(100*MainTour!$A43+RIGHT(BC$1,1),100*DAT!$A$34:$A$57+DAT!$B$34:$B$57,0))</f>
        <v>3</v>
      </c>
      <c r="BI43">
        <f t="array" ref="BI43">INDEX(DAT!$C$34:$C$57,MATCH(100*MainTour!$A43+RIGHT(BD$1,1),100*DAT!$A$34:$A$57+DAT!$B$34:$B$57,0))</f>
        <v>6</v>
      </c>
      <c r="BJ43">
        <f t="array" ref="BJ43">INDEX(DAT!$C$34:$C$57,MATCH(100*MainTour!$A43+RIGHT(BE$1,1),100*DAT!$A$34:$A$57+DAT!$B$34:$B$57,0))</f>
        <v>9</v>
      </c>
      <c r="BK43">
        <f t="array" ref="BK43">INDEX(DAT!$C$34:$C$57,MATCH(100*MainTour!$A43+RIGHT(BF$1,1),100*DAT!$A$34:$A$57+DAT!$B$34:$B$57,0))</f>
        <v>12</v>
      </c>
      <c r="BM43" t="b">
        <f t="shared" si="14"/>
        <v>1</v>
      </c>
      <c r="BN43" t="b">
        <f t="shared" si="15"/>
        <v>1</v>
      </c>
      <c r="BO43" t="b">
        <f t="shared" si="16"/>
        <v>1</v>
      </c>
      <c r="BP43" t="b">
        <f t="shared" si="17"/>
        <v>1</v>
      </c>
      <c r="BR43">
        <f t="array" ref="BR43">INDEX(DAT!$C$63:$C$86,MATCH(100*MainTour!$A43+RIGHT(BC$1,1),100*DAT!$A$63:$A$86+DAT!$B$63:$B$86,0))</f>
        <v>1</v>
      </c>
      <c r="BS43">
        <f t="array" ref="BS43">INDEX(DAT!$C$63:$C$86,MATCH(100*MainTour!$A43+RIGHT(BD$1,1),100*DAT!$A$63:$A$86+DAT!$B$63:$B$86,0))</f>
        <v>1</v>
      </c>
      <c r="BT43">
        <f t="array" ref="BT43">INDEX(DAT!$C$63:$C$86,MATCH(100*MainTour!$A43+RIGHT(BE$1,1),100*DAT!$A$63:$A$86+DAT!$B$63:$B$86,0))</f>
        <v>1</v>
      </c>
      <c r="BU43">
        <f t="array" ref="BU43">INDEX(DAT!$C$63:$C$86,MATCH(100*MainTour!$A43+RIGHT(BF$1,1),100*DAT!$A$63:$A$86+DAT!$B$63:$B$86,0))</f>
        <v>1</v>
      </c>
      <c r="BW43">
        <f t="array" ref="BW43">INDEX(DAT!$C$92:$C$115,MATCH(100*MainTour!$A43+RIGHT(BC$1,1),100*DAT!$A$92:$A$115+DAT!$B$92:$B$115,0))</f>
        <v>3</v>
      </c>
      <c r="BX43">
        <f t="array" ref="BX43">INDEX(DAT!$C$92:$C$115,MATCH(100*MainTour!$A43+RIGHT(BD$1,1),100*DAT!$A$92:$A$115+DAT!$B$92:$B$115,0))</f>
        <v>3</v>
      </c>
      <c r="BY43">
        <f t="array" ref="BY43">INDEX(DAT!$C$92:$C$115,MATCH(100*MainTour!$A43+RIGHT(BE$1,1),100*DAT!$A$92:$A$115+DAT!$B$92:$B$115,0))</f>
        <v>3</v>
      </c>
      <c r="BZ43">
        <f t="array" ref="BZ43">INDEX(DAT!$C$92:$C$115,MATCH(100*MainTour!$A43+RIGHT(BF$1,1),100*DAT!$A$92:$A$115+DAT!$B$92:$B$115,0))</f>
        <v>3</v>
      </c>
      <c r="CB43" t="b">
        <f t="shared" si="18"/>
        <v>1</v>
      </c>
      <c r="CC43" t="b">
        <f t="shared" si="19"/>
        <v>1</v>
      </c>
      <c r="CD43" t="b">
        <f t="shared" si="20"/>
        <v>1</v>
      </c>
      <c r="CE43" t="b">
        <f t="shared" si="21"/>
        <v>1</v>
      </c>
      <c r="CG43">
        <f t="array" ref="CG43">INDEX(DAT!$C$476:$C$499,MATCH(100*MainTour!$A43+RIGHT(BC$1,1),100*DAT!$A$476:$A$499+DAT!$B$476:$B$499,0))/2</f>
        <v>10</v>
      </c>
      <c r="CH43">
        <f t="array" ref="CH43">INDEX(DAT!$C$476:$C$499,MATCH(100*MainTour!$A43+RIGHT(BD$1,1),100*DAT!$A$476:$A$499+DAT!$B$476:$B$499,0))/2</f>
        <v>20</v>
      </c>
      <c r="CI43">
        <f t="array" ref="CI43">INDEX(DAT!$C$476:$C$499,MATCH(100*MainTour!$A43+RIGHT(BE$1,1),100*DAT!$A$476:$A$499+DAT!$B$476:$B$499,0))/2</f>
        <v>30</v>
      </c>
      <c r="CJ43">
        <f t="array" ref="CJ43">INDEX(DAT!$C$476:$C$499,MATCH(100*MainTour!$A43+RIGHT(BF$1,1),100*DAT!$A$476:$A$499+DAT!$B$476:$B$499,0))/2</f>
        <v>40</v>
      </c>
      <c r="CL43">
        <f t="array" ref="CL43">INDEX(DAT!$C$506:$C$529,MATCH(100*MainTour!$A43+RIGHT(BC$1,1),100*DAT!$A$506:$A$529+DAT!$B$506:$B$529,0))/2</f>
        <v>30</v>
      </c>
      <c r="CM43">
        <f t="array" ref="CM43">INDEX(DAT!$C$506:$C$529,MATCH(100*MainTour!$A43+RIGHT(BD$1,1),100*DAT!$A$506:$A$529+DAT!$B$506:$B$529,0))/2</f>
        <v>60</v>
      </c>
      <c r="CN43">
        <f t="array" ref="CN43">INDEX(DAT!$C$506:$C$529,MATCH(100*MainTour!$A43+RIGHT(BE$1,1),100*DAT!$A$506:$A$529+DAT!$B$506:$B$529,0))/2</f>
        <v>90</v>
      </c>
      <c r="CO43">
        <f t="array" ref="CO43">INDEX(DAT!$C$506:$C$529,MATCH(100*MainTour!$A43+RIGHT(BF$1,1),100*DAT!$A$506:$A$529+DAT!$B$506:$B$529,0))/2</f>
        <v>120</v>
      </c>
      <c r="CQ43" t="b">
        <f t="shared" si="22"/>
        <v>1</v>
      </c>
      <c r="CR43" t="b">
        <f t="shared" si="23"/>
        <v>1</v>
      </c>
      <c r="CS43" t="b">
        <f t="shared" si="24"/>
        <v>1</v>
      </c>
      <c r="CT43" t="b">
        <f t="shared" si="25"/>
        <v>1</v>
      </c>
      <c r="CV43">
        <f t="array" ref="CV43">INDEX(DAT!$C$544:$C$567,MATCH(100*MainTour!$A43+RIGHT(BC$1,1),100*DAT!$A$544:$A$567+DAT!$B$544:$B$567,0))/2</f>
        <v>10</v>
      </c>
      <c r="CW43">
        <f t="array" ref="CW43">INDEX(DAT!$C$544:$C$567,MATCH(100*MainTour!$A43+RIGHT(BD$1,1),100*DAT!$A$544:$A$567+DAT!$B$544:$B$567,0))/2</f>
        <v>10</v>
      </c>
      <c r="CX43">
        <f t="array" ref="CX43">INDEX(DAT!$C$544:$C$567,MATCH(100*MainTour!$A43+RIGHT(BE$1,1),100*DAT!$A$544:$A$567+DAT!$B$544:$B$567,0))/2</f>
        <v>10</v>
      </c>
      <c r="CY43">
        <f t="array" ref="CY43">INDEX(DAT!$C$544:$C$567,MATCH(100*MainTour!$A43+RIGHT(BF$1,1),100*DAT!$A$544:$A$567+DAT!$B$544:$B$567,0))/2</f>
        <v>10</v>
      </c>
      <c r="DA43">
        <f t="array" ref="DA43">INDEX(DAT!$C$573:$C$596,MATCH(100*MainTour!$A43+RIGHT(BC$1,1),100*DAT!$A$573:$A$596+DAT!$B$573:$B$596,0))/2</f>
        <v>30</v>
      </c>
      <c r="DB43">
        <f t="array" ref="DB43">INDEX(DAT!$C$573:$C$596,MATCH(100*MainTour!$A43+RIGHT(BD$1,1),100*DAT!$A$573:$A$596+DAT!$B$573:$B$596,0))/2</f>
        <v>30</v>
      </c>
      <c r="DC43">
        <f t="array" ref="DC43">INDEX(DAT!$C$573:$C$596,MATCH(100*MainTour!$A43+RIGHT(BE$1,1),100*DAT!$A$573:$A$596+DAT!$B$573:$B$596,0))/2</f>
        <v>30</v>
      </c>
      <c r="DD43">
        <f t="array" ref="DD43">INDEX(DAT!$C$573:$C$596,MATCH(100*MainTour!$A43+RIGHT(BF$1,1),100*DAT!$A$573:$A$596+DAT!$B$573:$B$596,0))/2</f>
        <v>30</v>
      </c>
      <c r="DF43" t="b">
        <f t="shared" si="26"/>
        <v>1</v>
      </c>
      <c r="DG43" t="b">
        <f t="shared" si="27"/>
        <v>1</v>
      </c>
      <c r="DH43" t="b">
        <f t="shared" si="28"/>
        <v>1</v>
      </c>
      <c r="DI43" t="b">
        <f t="shared" si="29"/>
        <v>1</v>
      </c>
    </row>
  </sheetData>
  <conditionalFormatting sqref="AE2:AE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98"/>
  <sheetViews>
    <sheetView topLeftCell="A90" workbookViewId="0">
      <selection activeCell="E3" sqref="E3"/>
    </sheetView>
  </sheetViews>
  <sheetFormatPr defaultRowHeight="15" x14ac:dyDescent="0.25"/>
  <sheetData>
    <row r="1" spans="1:3" x14ac:dyDescent="0.25">
      <c r="A1" t="s">
        <v>82</v>
      </c>
    </row>
    <row r="2" spans="1:3" x14ac:dyDescent="0.25">
      <c r="A2" t="s">
        <v>83</v>
      </c>
    </row>
    <row r="3" spans="1:3" x14ac:dyDescent="0.25">
      <c r="A3">
        <v>1</v>
      </c>
      <c r="B3">
        <v>1</v>
      </c>
      <c r="C3">
        <v>2</v>
      </c>
    </row>
    <row r="4" spans="1:3" x14ac:dyDescent="0.25">
      <c r="A4">
        <v>2</v>
      </c>
      <c r="B4">
        <v>1</v>
      </c>
      <c r="C4">
        <v>5</v>
      </c>
    </row>
    <row r="5" spans="1:3" x14ac:dyDescent="0.25">
      <c r="A5">
        <v>3</v>
      </c>
      <c r="B5">
        <v>1</v>
      </c>
      <c r="C5">
        <v>3</v>
      </c>
    </row>
    <row r="6" spans="1:3" x14ac:dyDescent="0.25">
      <c r="A6">
        <v>4</v>
      </c>
      <c r="B6">
        <v>1</v>
      </c>
      <c r="C6">
        <v>4</v>
      </c>
    </row>
    <row r="7" spans="1:3" x14ac:dyDescent="0.25">
      <c r="A7">
        <v>5</v>
      </c>
      <c r="B7">
        <v>1</v>
      </c>
      <c r="C7">
        <v>1</v>
      </c>
    </row>
    <row r="8" spans="1:3" x14ac:dyDescent="0.25">
      <c r="A8">
        <v>6</v>
      </c>
      <c r="B8">
        <v>1</v>
      </c>
      <c r="C8">
        <v>3</v>
      </c>
    </row>
    <row r="9" spans="1:3" x14ac:dyDescent="0.25">
      <c r="A9">
        <v>1</v>
      </c>
      <c r="B9">
        <v>2</v>
      </c>
      <c r="C9">
        <v>4</v>
      </c>
    </row>
    <row r="10" spans="1:3" x14ac:dyDescent="0.25">
      <c r="A10">
        <v>2</v>
      </c>
      <c r="B10">
        <v>2</v>
      </c>
      <c r="C10">
        <v>10</v>
      </c>
    </row>
    <row r="11" spans="1:3" x14ac:dyDescent="0.25">
      <c r="A11">
        <v>3</v>
      </c>
      <c r="B11">
        <v>2</v>
      </c>
      <c r="C11">
        <v>7</v>
      </c>
    </row>
    <row r="12" spans="1:3" x14ac:dyDescent="0.25">
      <c r="A12">
        <v>4</v>
      </c>
      <c r="B12">
        <v>2</v>
      </c>
      <c r="C12">
        <v>8</v>
      </c>
    </row>
    <row r="13" spans="1:3" x14ac:dyDescent="0.25">
      <c r="A13">
        <v>5</v>
      </c>
      <c r="B13">
        <v>2</v>
      </c>
      <c r="C13">
        <v>2</v>
      </c>
    </row>
    <row r="14" spans="1:3" x14ac:dyDescent="0.25">
      <c r="A14">
        <v>6</v>
      </c>
      <c r="B14">
        <v>2</v>
      </c>
      <c r="C14">
        <v>7</v>
      </c>
    </row>
    <row r="15" spans="1:3" x14ac:dyDescent="0.25">
      <c r="A15">
        <v>1</v>
      </c>
      <c r="B15">
        <v>3</v>
      </c>
      <c r="C15">
        <v>6</v>
      </c>
    </row>
    <row r="16" spans="1:3" x14ac:dyDescent="0.25">
      <c r="A16">
        <v>2</v>
      </c>
      <c r="B16">
        <v>3</v>
      </c>
      <c r="C16">
        <v>15</v>
      </c>
    </row>
    <row r="17" spans="1:3" x14ac:dyDescent="0.25">
      <c r="A17">
        <v>3</v>
      </c>
      <c r="B17">
        <v>3</v>
      </c>
      <c r="C17">
        <v>10</v>
      </c>
    </row>
    <row r="18" spans="1:3" x14ac:dyDescent="0.25">
      <c r="A18">
        <v>4</v>
      </c>
      <c r="B18">
        <v>3</v>
      </c>
      <c r="C18">
        <v>12</v>
      </c>
    </row>
    <row r="19" spans="1:3" x14ac:dyDescent="0.25">
      <c r="A19">
        <v>5</v>
      </c>
      <c r="B19">
        <v>3</v>
      </c>
      <c r="C19">
        <v>3</v>
      </c>
    </row>
    <row r="20" spans="1:3" x14ac:dyDescent="0.25">
      <c r="A20">
        <v>6</v>
      </c>
      <c r="B20">
        <v>3</v>
      </c>
      <c r="C20">
        <v>10</v>
      </c>
    </row>
    <row r="21" spans="1:3" x14ac:dyDescent="0.25">
      <c r="A21">
        <v>1</v>
      </c>
      <c r="B21">
        <v>4</v>
      </c>
      <c r="C21">
        <v>8</v>
      </c>
    </row>
    <row r="22" spans="1:3" x14ac:dyDescent="0.25">
      <c r="A22">
        <v>2</v>
      </c>
      <c r="B22">
        <v>4</v>
      </c>
      <c r="C22">
        <v>20</v>
      </c>
    </row>
    <row r="23" spans="1:3" x14ac:dyDescent="0.25">
      <c r="A23">
        <v>3</v>
      </c>
      <c r="B23">
        <v>4</v>
      </c>
      <c r="C23">
        <v>14</v>
      </c>
    </row>
    <row r="24" spans="1:3" x14ac:dyDescent="0.25">
      <c r="A24">
        <v>4</v>
      </c>
      <c r="B24">
        <v>4</v>
      </c>
      <c r="C24">
        <v>16</v>
      </c>
    </row>
    <row r="25" spans="1:3" x14ac:dyDescent="0.25">
      <c r="A25">
        <v>5</v>
      </c>
      <c r="B25">
        <v>4</v>
      </c>
      <c r="C25">
        <v>4</v>
      </c>
    </row>
    <row r="26" spans="1:3" x14ac:dyDescent="0.25">
      <c r="A26">
        <v>6</v>
      </c>
      <c r="B26">
        <v>4</v>
      </c>
      <c r="C26">
        <v>14</v>
      </c>
    </row>
    <row r="28" spans="1:3" x14ac:dyDescent="0.25">
      <c r="A28" t="s">
        <v>84</v>
      </c>
    </row>
    <row r="29" spans="1:3" x14ac:dyDescent="0.25">
      <c r="A29" t="s">
        <v>85</v>
      </c>
    </row>
    <row r="32" spans="1:3" x14ac:dyDescent="0.25">
      <c r="A32" t="s">
        <v>86</v>
      </c>
    </row>
    <row r="33" spans="1:3" x14ac:dyDescent="0.25">
      <c r="A33" t="s">
        <v>87</v>
      </c>
    </row>
    <row r="34" spans="1:3" x14ac:dyDescent="0.25">
      <c r="A34">
        <v>1</v>
      </c>
      <c r="B34">
        <v>1</v>
      </c>
      <c r="C34">
        <v>5</v>
      </c>
    </row>
    <row r="35" spans="1:3" x14ac:dyDescent="0.25">
      <c r="A35">
        <v>2</v>
      </c>
      <c r="B35">
        <v>1</v>
      </c>
      <c r="C35">
        <v>5</v>
      </c>
    </row>
    <row r="36" spans="1:3" x14ac:dyDescent="0.25">
      <c r="A36">
        <v>3</v>
      </c>
      <c r="B36">
        <v>1</v>
      </c>
      <c r="C36">
        <v>4</v>
      </c>
    </row>
    <row r="37" spans="1:3" x14ac:dyDescent="0.25">
      <c r="A37">
        <v>4</v>
      </c>
      <c r="B37">
        <v>1</v>
      </c>
      <c r="C37">
        <v>4</v>
      </c>
    </row>
    <row r="38" spans="1:3" x14ac:dyDescent="0.25">
      <c r="A38">
        <v>5</v>
      </c>
      <c r="B38">
        <v>1</v>
      </c>
      <c r="C38">
        <v>3</v>
      </c>
    </row>
    <row r="39" spans="1:3" x14ac:dyDescent="0.25">
      <c r="A39">
        <v>6</v>
      </c>
      <c r="B39">
        <v>1</v>
      </c>
      <c r="C39">
        <v>4</v>
      </c>
    </row>
    <row r="40" spans="1:3" x14ac:dyDescent="0.25">
      <c r="A40">
        <v>1</v>
      </c>
      <c r="B40">
        <v>2</v>
      </c>
      <c r="C40">
        <v>10</v>
      </c>
    </row>
    <row r="41" spans="1:3" x14ac:dyDescent="0.25">
      <c r="A41">
        <v>2</v>
      </c>
      <c r="B41">
        <v>2</v>
      </c>
      <c r="C41">
        <v>10</v>
      </c>
    </row>
    <row r="42" spans="1:3" x14ac:dyDescent="0.25">
      <c r="A42">
        <v>3</v>
      </c>
      <c r="B42">
        <v>2</v>
      </c>
      <c r="C42">
        <v>7</v>
      </c>
    </row>
    <row r="43" spans="1:3" x14ac:dyDescent="0.25">
      <c r="A43">
        <v>4</v>
      </c>
      <c r="B43">
        <v>2</v>
      </c>
      <c r="C43">
        <v>8</v>
      </c>
    </row>
    <row r="44" spans="1:3" x14ac:dyDescent="0.25">
      <c r="A44">
        <v>5</v>
      </c>
      <c r="B44">
        <v>2</v>
      </c>
      <c r="C44">
        <v>6</v>
      </c>
    </row>
    <row r="45" spans="1:3" x14ac:dyDescent="0.25">
      <c r="A45">
        <v>6</v>
      </c>
      <c r="B45">
        <v>2</v>
      </c>
      <c r="C45">
        <v>7</v>
      </c>
    </row>
    <row r="46" spans="1:3" x14ac:dyDescent="0.25">
      <c r="A46">
        <v>1</v>
      </c>
      <c r="B46">
        <v>3</v>
      </c>
      <c r="C46">
        <v>15</v>
      </c>
    </row>
    <row r="47" spans="1:3" x14ac:dyDescent="0.25">
      <c r="A47">
        <v>2</v>
      </c>
      <c r="B47">
        <v>3</v>
      </c>
      <c r="C47">
        <v>15</v>
      </c>
    </row>
    <row r="48" spans="1:3" x14ac:dyDescent="0.25">
      <c r="A48">
        <v>3</v>
      </c>
      <c r="B48">
        <v>3</v>
      </c>
      <c r="C48">
        <v>11</v>
      </c>
    </row>
    <row r="49" spans="1:3" x14ac:dyDescent="0.25">
      <c r="A49">
        <v>4</v>
      </c>
      <c r="B49">
        <v>3</v>
      </c>
      <c r="C49">
        <v>12</v>
      </c>
    </row>
    <row r="50" spans="1:3" x14ac:dyDescent="0.25">
      <c r="A50">
        <v>5</v>
      </c>
      <c r="B50">
        <v>3</v>
      </c>
      <c r="C50">
        <v>9</v>
      </c>
    </row>
    <row r="51" spans="1:3" x14ac:dyDescent="0.25">
      <c r="A51">
        <v>6</v>
      </c>
      <c r="B51">
        <v>3</v>
      </c>
      <c r="C51">
        <v>11</v>
      </c>
    </row>
    <row r="52" spans="1:3" x14ac:dyDescent="0.25">
      <c r="A52">
        <v>1</v>
      </c>
      <c r="B52">
        <v>4</v>
      </c>
      <c r="C52">
        <v>20</v>
      </c>
    </row>
    <row r="53" spans="1:3" x14ac:dyDescent="0.25">
      <c r="A53">
        <v>2</v>
      </c>
      <c r="B53">
        <v>4</v>
      </c>
      <c r="C53">
        <v>20</v>
      </c>
    </row>
    <row r="54" spans="1:3" x14ac:dyDescent="0.25">
      <c r="A54">
        <v>3</v>
      </c>
      <c r="B54">
        <v>4</v>
      </c>
      <c r="C54">
        <v>14</v>
      </c>
    </row>
    <row r="55" spans="1:3" x14ac:dyDescent="0.25">
      <c r="A55">
        <v>4</v>
      </c>
      <c r="B55">
        <v>4</v>
      </c>
      <c r="C55">
        <v>16</v>
      </c>
    </row>
    <row r="56" spans="1:3" x14ac:dyDescent="0.25">
      <c r="A56">
        <v>5</v>
      </c>
      <c r="B56">
        <v>4</v>
      </c>
      <c r="C56">
        <v>12</v>
      </c>
    </row>
    <row r="57" spans="1:3" x14ac:dyDescent="0.25">
      <c r="A57">
        <v>6</v>
      </c>
      <c r="B57">
        <v>4</v>
      </c>
      <c r="C57">
        <v>14</v>
      </c>
    </row>
    <row r="59" spans="1:3" x14ac:dyDescent="0.25">
      <c r="A59" t="s">
        <v>84</v>
      </c>
    </row>
    <row r="61" spans="1:3" x14ac:dyDescent="0.25">
      <c r="A61" t="s">
        <v>88</v>
      </c>
    </row>
    <row r="62" spans="1:3" x14ac:dyDescent="0.25">
      <c r="A62" t="s">
        <v>89</v>
      </c>
    </row>
    <row r="63" spans="1:3" x14ac:dyDescent="0.25">
      <c r="A63">
        <v>1</v>
      </c>
      <c r="B63">
        <v>1</v>
      </c>
      <c r="C63">
        <v>2</v>
      </c>
    </row>
    <row r="64" spans="1:3" x14ac:dyDescent="0.25">
      <c r="A64">
        <v>2</v>
      </c>
      <c r="B64">
        <v>1</v>
      </c>
      <c r="C64">
        <v>5</v>
      </c>
    </row>
    <row r="65" spans="1:3" x14ac:dyDescent="0.25">
      <c r="A65">
        <v>3</v>
      </c>
      <c r="B65">
        <v>1</v>
      </c>
      <c r="C65">
        <v>3</v>
      </c>
    </row>
    <row r="66" spans="1:3" x14ac:dyDescent="0.25">
      <c r="A66">
        <v>4</v>
      </c>
      <c r="B66">
        <v>1</v>
      </c>
      <c r="C66">
        <v>4</v>
      </c>
    </row>
    <row r="67" spans="1:3" x14ac:dyDescent="0.25">
      <c r="A67">
        <v>5</v>
      </c>
      <c r="B67">
        <v>1</v>
      </c>
      <c r="C67">
        <v>1</v>
      </c>
    </row>
    <row r="68" spans="1:3" x14ac:dyDescent="0.25">
      <c r="A68">
        <v>6</v>
      </c>
      <c r="B68">
        <v>1</v>
      </c>
      <c r="C68">
        <v>3</v>
      </c>
    </row>
    <row r="69" spans="1:3" x14ac:dyDescent="0.25">
      <c r="A69">
        <v>1</v>
      </c>
      <c r="B69">
        <v>2</v>
      </c>
      <c r="C69">
        <v>2</v>
      </c>
    </row>
    <row r="70" spans="1:3" x14ac:dyDescent="0.25">
      <c r="A70">
        <v>2</v>
      </c>
      <c r="B70">
        <v>2</v>
      </c>
      <c r="C70">
        <v>5</v>
      </c>
    </row>
    <row r="71" spans="1:3" x14ac:dyDescent="0.25">
      <c r="A71">
        <v>3</v>
      </c>
      <c r="B71">
        <v>2</v>
      </c>
      <c r="C71">
        <v>3</v>
      </c>
    </row>
    <row r="72" spans="1:3" x14ac:dyDescent="0.25">
      <c r="A72">
        <v>4</v>
      </c>
      <c r="B72">
        <v>2</v>
      </c>
      <c r="C72">
        <v>4</v>
      </c>
    </row>
    <row r="73" spans="1:3" x14ac:dyDescent="0.25">
      <c r="A73">
        <v>5</v>
      </c>
      <c r="B73">
        <v>2</v>
      </c>
      <c r="C73">
        <v>1</v>
      </c>
    </row>
    <row r="74" spans="1:3" x14ac:dyDescent="0.25">
      <c r="A74">
        <v>6</v>
      </c>
      <c r="B74">
        <v>2</v>
      </c>
      <c r="C74">
        <v>3</v>
      </c>
    </row>
    <row r="75" spans="1:3" x14ac:dyDescent="0.25">
      <c r="A75">
        <v>1</v>
      </c>
      <c r="B75">
        <v>3</v>
      </c>
      <c r="C75">
        <v>2</v>
      </c>
    </row>
    <row r="76" spans="1:3" x14ac:dyDescent="0.25">
      <c r="A76">
        <v>2</v>
      </c>
      <c r="B76">
        <v>3</v>
      </c>
      <c r="C76">
        <v>5</v>
      </c>
    </row>
    <row r="77" spans="1:3" x14ac:dyDescent="0.25">
      <c r="A77">
        <v>3</v>
      </c>
      <c r="B77">
        <v>3</v>
      </c>
      <c r="C77">
        <v>3</v>
      </c>
    </row>
    <row r="78" spans="1:3" x14ac:dyDescent="0.25">
      <c r="A78">
        <v>4</v>
      </c>
      <c r="B78">
        <v>3</v>
      </c>
      <c r="C78">
        <v>4</v>
      </c>
    </row>
    <row r="79" spans="1:3" x14ac:dyDescent="0.25">
      <c r="A79">
        <v>5</v>
      </c>
      <c r="B79">
        <v>3</v>
      </c>
      <c r="C79">
        <v>1</v>
      </c>
    </row>
    <row r="80" spans="1:3" x14ac:dyDescent="0.25">
      <c r="A80">
        <v>6</v>
      </c>
      <c r="B80">
        <v>3</v>
      </c>
      <c r="C80">
        <v>3</v>
      </c>
    </row>
    <row r="81" spans="1:3" x14ac:dyDescent="0.25">
      <c r="A81">
        <v>1</v>
      </c>
      <c r="B81">
        <v>4</v>
      </c>
      <c r="C81">
        <v>2</v>
      </c>
    </row>
    <row r="82" spans="1:3" x14ac:dyDescent="0.25">
      <c r="A82">
        <v>2</v>
      </c>
      <c r="B82">
        <v>4</v>
      </c>
      <c r="C82">
        <v>5</v>
      </c>
    </row>
    <row r="83" spans="1:3" x14ac:dyDescent="0.25">
      <c r="A83">
        <v>3</v>
      </c>
      <c r="B83">
        <v>4</v>
      </c>
      <c r="C83">
        <v>3</v>
      </c>
    </row>
    <row r="84" spans="1:3" x14ac:dyDescent="0.25">
      <c r="A84">
        <v>4</v>
      </c>
      <c r="B84">
        <v>4</v>
      </c>
      <c r="C84">
        <v>4</v>
      </c>
    </row>
    <row r="85" spans="1:3" x14ac:dyDescent="0.25">
      <c r="A85">
        <v>5</v>
      </c>
      <c r="B85">
        <v>4</v>
      </c>
      <c r="C85">
        <v>1</v>
      </c>
    </row>
    <row r="86" spans="1:3" x14ac:dyDescent="0.25">
      <c r="A86">
        <v>6</v>
      </c>
      <c r="B86">
        <v>4</v>
      </c>
      <c r="C86">
        <v>3</v>
      </c>
    </row>
    <row r="88" spans="1:3" x14ac:dyDescent="0.25">
      <c r="A88" t="s">
        <v>84</v>
      </c>
    </row>
    <row r="89" spans="1:3" x14ac:dyDescent="0.25">
      <c r="A89" t="s">
        <v>85</v>
      </c>
    </row>
    <row r="90" spans="1:3" x14ac:dyDescent="0.25">
      <c r="A90" t="s">
        <v>90</v>
      </c>
    </row>
    <row r="91" spans="1:3" x14ac:dyDescent="0.25">
      <c r="A91" t="s">
        <v>91</v>
      </c>
    </row>
    <row r="92" spans="1:3" x14ac:dyDescent="0.25">
      <c r="A92">
        <v>1</v>
      </c>
      <c r="B92">
        <v>1</v>
      </c>
      <c r="C92">
        <v>5</v>
      </c>
    </row>
    <row r="93" spans="1:3" x14ac:dyDescent="0.25">
      <c r="A93">
        <v>2</v>
      </c>
      <c r="B93">
        <v>1</v>
      </c>
      <c r="C93">
        <v>5</v>
      </c>
    </row>
    <row r="94" spans="1:3" x14ac:dyDescent="0.25">
      <c r="A94">
        <v>3</v>
      </c>
      <c r="B94">
        <v>1</v>
      </c>
      <c r="C94">
        <v>4</v>
      </c>
    </row>
    <row r="95" spans="1:3" x14ac:dyDescent="0.25">
      <c r="A95">
        <v>4</v>
      </c>
      <c r="B95">
        <v>1</v>
      </c>
      <c r="C95">
        <v>4</v>
      </c>
    </row>
    <row r="96" spans="1:3" x14ac:dyDescent="0.25">
      <c r="A96">
        <v>5</v>
      </c>
      <c r="B96">
        <v>1</v>
      </c>
      <c r="C96">
        <v>3</v>
      </c>
    </row>
    <row r="97" spans="1:3" x14ac:dyDescent="0.25">
      <c r="A97">
        <v>6</v>
      </c>
      <c r="B97">
        <v>1</v>
      </c>
      <c r="C97">
        <v>4</v>
      </c>
    </row>
    <row r="98" spans="1:3" x14ac:dyDescent="0.25">
      <c r="A98">
        <v>1</v>
      </c>
      <c r="B98">
        <v>2</v>
      </c>
      <c r="C98">
        <v>5</v>
      </c>
    </row>
    <row r="99" spans="1:3" x14ac:dyDescent="0.25">
      <c r="A99">
        <v>2</v>
      </c>
      <c r="B99">
        <v>2</v>
      </c>
      <c r="C99">
        <v>5</v>
      </c>
    </row>
    <row r="100" spans="1:3" x14ac:dyDescent="0.25">
      <c r="A100">
        <v>3</v>
      </c>
      <c r="B100">
        <v>2</v>
      </c>
      <c r="C100">
        <v>4</v>
      </c>
    </row>
    <row r="101" spans="1:3" x14ac:dyDescent="0.25">
      <c r="A101">
        <v>4</v>
      </c>
      <c r="B101">
        <v>2</v>
      </c>
      <c r="C101">
        <v>4</v>
      </c>
    </row>
    <row r="102" spans="1:3" x14ac:dyDescent="0.25">
      <c r="A102">
        <v>5</v>
      </c>
      <c r="B102">
        <v>2</v>
      </c>
      <c r="C102">
        <v>3</v>
      </c>
    </row>
    <row r="103" spans="1:3" x14ac:dyDescent="0.25">
      <c r="A103">
        <v>6</v>
      </c>
      <c r="B103">
        <v>2</v>
      </c>
      <c r="C103">
        <v>4</v>
      </c>
    </row>
    <row r="104" spans="1:3" x14ac:dyDescent="0.25">
      <c r="A104">
        <v>1</v>
      </c>
      <c r="B104">
        <v>3</v>
      </c>
      <c r="C104">
        <v>5</v>
      </c>
    </row>
    <row r="105" spans="1:3" x14ac:dyDescent="0.25">
      <c r="A105">
        <v>2</v>
      </c>
      <c r="B105">
        <v>3</v>
      </c>
      <c r="C105">
        <v>5</v>
      </c>
    </row>
    <row r="106" spans="1:3" x14ac:dyDescent="0.25">
      <c r="A106">
        <v>3</v>
      </c>
      <c r="B106">
        <v>3</v>
      </c>
      <c r="C106">
        <v>4</v>
      </c>
    </row>
    <row r="107" spans="1:3" x14ac:dyDescent="0.25">
      <c r="A107">
        <v>4</v>
      </c>
      <c r="B107">
        <v>3</v>
      </c>
      <c r="C107">
        <v>4</v>
      </c>
    </row>
    <row r="108" spans="1:3" x14ac:dyDescent="0.25">
      <c r="A108">
        <v>5</v>
      </c>
      <c r="B108">
        <v>3</v>
      </c>
      <c r="C108">
        <v>3</v>
      </c>
    </row>
    <row r="109" spans="1:3" x14ac:dyDescent="0.25">
      <c r="A109">
        <v>6</v>
      </c>
      <c r="B109">
        <v>3</v>
      </c>
      <c r="C109">
        <v>4</v>
      </c>
    </row>
    <row r="110" spans="1:3" x14ac:dyDescent="0.25">
      <c r="A110">
        <v>1</v>
      </c>
      <c r="B110">
        <v>4</v>
      </c>
      <c r="C110">
        <v>5</v>
      </c>
    </row>
    <row r="111" spans="1:3" x14ac:dyDescent="0.25">
      <c r="A111">
        <v>2</v>
      </c>
      <c r="B111">
        <v>4</v>
      </c>
      <c r="C111">
        <v>5</v>
      </c>
    </row>
    <row r="112" spans="1:3" x14ac:dyDescent="0.25">
      <c r="A112">
        <v>3</v>
      </c>
      <c r="B112">
        <v>4</v>
      </c>
      <c r="C112">
        <v>4</v>
      </c>
    </row>
    <row r="113" spans="1:3" x14ac:dyDescent="0.25">
      <c r="A113">
        <v>4</v>
      </c>
      <c r="B113">
        <v>4</v>
      </c>
      <c r="C113">
        <v>4</v>
      </c>
    </row>
    <row r="114" spans="1:3" x14ac:dyDescent="0.25">
      <c r="A114">
        <v>5</v>
      </c>
      <c r="B114">
        <v>4</v>
      </c>
      <c r="C114">
        <v>3</v>
      </c>
    </row>
    <row r="115" spans="1:3" x14ac:dyDescent="0.25">
      <c r="A115">
        <v>6</v>
      </c>
      <c r="B115">
        <v>4</v>
      </c>
      <c r="C115">
        <v>4</v>
      </c>
    </row>
    <row r="117" spans="1:3" x14ac:dyDescent="0.25">
      <c r="A117" t="s">
        <v>84</v>
      </c>
    </row>
    <row r="119" spans="1:3" x14ac:dyDescent="0.25">
      <c r="A119" t="s">
        <v>92</v>
      </c>
    </row>
    <row r="120" spans="1:3" x14ac:dyDescent="0.25">
      <c r="A120" t="s">
        <v>93</v>
      </c>
    </row>
    <row r="122" spans="1:3" x14ac:dyDescent="0.25">
      <c r="A122" t="s">
        <v>94</v>
      </c>
    </row>
    <row r="123" spans="1:3" x14ac:dyDescent="0.25">
      <c r="A123" t="s">
        <v>95</v>
      </c>
    </row>
    <row r="124" spans="1:3" x14ac:dyDescent="0.25">
      <c r="A124" t="s">
        <v>96</v>
      </c>
    </row>
    <row r="125" spans="1:3" x14ac:dyDescent="0.25">
      <c r="A125" t="s">
        <v>97</v>
      </c>
    </row>
    <row r="126" spans="1:3" x14ac:dyDescent="0.25">
      <c r="A126" t="s">
        <v>98</v>
      </c>
    </row>
    <row r="127" spans="1:3" x14ac:dyDescent="0.25">
      <c r="A127" t="s">
        <v>99</v>
      </c>
    </row>
    <row r="128" spans="1:3" x14ac:dyDescent="0.25">
      <c r="A128" t="s">
        <v>100</v>
      </c>
    </row>
    <row r="130" spans="1:1" x14ac:dyDescent="0.25">
      <c r="A130" t="s">
        <v>101</v>
      </c>
    </row>
    <row r="131" spans="1:1" x14ac:dyDescent="0.25">
      <c r="A131" t="s">
        <v>102</v>
      </c>
    </row>
    <row r="132" spans="1:1" x14ac:dyDescent="0.25">
      <c r="A132" t="s">
        <v>103</v>
      </c>
    </row>
    <row r="133" spans="1:1" x14ac:dyDescent="0.25">
      <c r="A133" t="s">
        <v>104</v>
      </c>
    </row>
    <row r="134" spans="1:1" x14ac:dyDescent="0.25">
      <c r="A134" t="s">
        <v>105</v>
      </c>
    </row>
    <row r="135" spans="1:1" x14ac:dyDescent="0.25">
      <c r="A135" t="s">
        <v>106</v>
      </c>
    </row>
    <row r="136" spans="1:1" x14ac:dyDescent="0.25">
      <c r="A136" t="s">
        <v>107</v>
      </c>
    </row>
    <row r="140" spans="1:1" x14ac:dyDescent="0.25">
      <c r="A140" t="s">
        <v>108</v>
      </c>
    </row>
    <row r="141" spans="1:1" x14ac:dyDescent="0.25">
      <c r="A141" t="s">
        <v>109</v>
      </c>
    </row>
    <row r="142" spans="1:1" x14ac:dyDescent="0.25">
      <c r="A142" t="s">
        <v>110</v>
      </c>
    </row>
    <row r="143" spans="1:1" x14ac:dyDescent="0.25">
      <c r="A143" t="s">
        <v>111</v>
      </c>
    </row>
    <row r="144" spans="1:1" x14ac:dyDescent="0.25">
      <c r="A144" t="s">
        <v>112</v>
      </c>
    </row>
    <row r="145" spans="1:1" x14ac:dyDescent="0.25">
      <c r="A145" t="s">
        <v>113</v>
      </c>
    </row>
    <row r="146" spans="1:1" x14ac:dyDescent="0.25">
      <c r="A146" t="s">
        <v>114</v>
      </c>
    </row>
    <row r="148" spans="1:1" x14ac:dyDescent="0.25">
      <c r="A148" t="s">
        <v>115</v>
      </c>
    </row>
    <row r="149" spans="1:1" x14ac:dyDescent="0.25">
      <c r="A149" t="s">
        <v>116</v>
      </c>
    </row>
    <row r="150" spans="1:1" x14ac:dyDescent="0.25">
      <c r="A150" t="s">
        <v>117</v>
      </c>
    </row>
    <row r="151" spans="1:1" x14ac:dyDescent="0.25">
      <c r="A151" t="s">
        <v>118</v>
      </c>
    </row>
    <row r="152" spans="1:1" x14ac:dyDescent="0.25">
      <c r="A152" t="s">
        <v>119</v>
      </c>
    </row>
    <row r="153" spans="1:1" x14ac:dyDescent="0.25">
      <c r="A153" t="s">
        <v>120</v>
      </c>
    </row>
    <row r="154" spans="1:1" x14ac:dyDescent="0.25">
      <c r="A154" t="s">
        <v>121</v>
      </c>
    </row>
    <row r="156" spans="1:1" x14ac:dyDescent="0.25">
      <c r="A156" t="s">
        <v>122</v>
      </c>
    </row>
    <row r="157" spans="1:1" x14ac:dyDescent="0.25">
      <c r="A157" t="s">
        <v>123</v>
      </c>
    </row>
    <row r="158" spans="1:1" x14ac:dyDescent="0.25">
      <c r="A158" t="s">
        <v>124</v>
      </c>
    </row>
    <row r="159" spans="1:1" x14ac:dyDescent="0.25">
      <c r="A159" t="s">
        <v>125</v>
      </c>
    </row>
    <row r="160" spans="1:1" x14ac:dyDescent="0.25">
      <c r="A160" t="s">
        <v>126</v>
      </c>
    </row>
    <row r="161" spans="1:1" x14ac:dyDescent="0.25">
      <c r="A161" t="s">
        <v>127</v>
      </c>
    </row>
    <row r="162" spans="1:1" x14ac:dyDescent="0.25">
      <c r="A162" t="s">
        <v>128</v>
      </c>
    </row>
    <row r="164" spans="1:1" x14ac:dyDescent="0.25">
      <c r="A164" t="s">
        <v>129</v>
      </c>
    </row>
    <row r="165" spans="1:1" x14ac:dyDescent="0.25">
      <c r="A165" t="s">
        <v>130</v>
      </c>
    </row>
    <row r="166" spans="1:1" x14ac:dyDescent="0.25">
      <c r="A166" t="s">
        <v>131</v>
      </c>
    </row>
    <row r="167" spans="1:1" x14ac:dyDescent="0.25">
      <c r="A167" t="s">
        <v>132</v>
      </c>
    </row>
    <row r="168" spans="1:1" x14ac:dyDescent="0.25">
      <c r="A168" t="s">
        <v>133</v>
      </c>
    </row>
    <row r="169" spans="1:1" x14ac:dyDescent="0.25">
      <c r="A169" t="s">
        <v>134</v>
      </c>
    </row>
    <row r="170" spans="1:1" x14ac:dyDescent="0.25">
      <c r="A170" t="s">
        <v>135</v>
      </c>
    </row>
    <row r="172" spans="1:1" x14ac:dyDescent="0.25">
      <c r="A172" t="s">
        <v>136</v>
      </c>
    </row>
    <row r="173" spans="1:1" x14ac:dyDescent="0.25">
      <c r="A173" t="s">
        <v>137</v>
      </c>
    </row>
    <row r="174" spans="1:1" x14ac:dyDescent="0.25">
      <c r="A174" t="s">
        <v>138</v>
      </c>
    </row>
    <row r="175" spans="1:1" x14ac:dyDescent="0.25">
      <c r="A175" t="s">
        <v>139</v>
      </c>
    </row>
    <row r="176" spans="1:1" x14ac:dyDescent="0.25">
      <c r="A176" t="s">
        <v>140</v>
      </c>
    </row>
    <row r="177" spans="1:1" x14ac:dyDescent="0.25">
      <c r="A177" t="s">
        <v>141</v>
      </c>
    </row>
    <row r="178" spans="1:1" x14ac:dyDescent="0.25">
      <c r="A178" t="s">
        <v>142</v>
      </c>
    </row>
    <row r="180" spans="1:1" x14ac:dyDescent="0.25">
      <c r="A180" t="s">
        <v>143</v>
      </c>
    </row>
    <row r="181" spans="1:1" x14ac:dyDescent="0.25">
      <c r="A181" t="s">
        <v>144</v>
      </c>
    </row>
    <row r="182" spans="1:1" x14ac:dyDescent="0.25">
      <c r="A182" t="s">
        <v>145</v>
      </c>
    </row>
    <row r="183" spans="1:1" x14ac:dyDescent="0.25">
      <c r="A183" t="s">
        <v>146</v>
      </c>
    </row>
    <row r="184" spans="1:1" x14ac:dyDescent="0.25">
      <c r="A184" t="s">
        <v>147</v>
      </c>
    </row>
    <row r="185" spans="1:1" x14ac:dyDescent="0.25">
      <c r="A185" t="s">
        <v>148</v>
      </c>
    </row>
    <row r="186" spans="1:1" x14ac:dyDescent="0.25">
      <c r="A186" t="s">
        <v>149</v>
      </c>
    </row>
    <row r="188" spans="1:1" x14ac:dyDescent="0.25">
      <c r="A188" t="s">
        <v>150</v>
      </c>
    </row>
    <row r="189" spans="1:1" x14ac:dyDescent="0.25">
      <c r="A189" t="s">
        <v>151</v>
      </c>
    </row>
    <row r="190" spans="1:1" x14ac:dyDescent="0.25">
      <c r="A190" t="s">
        <v>152</v>
      </c>
    </row>
    <row r="191" spans="1:1" x14ac:dyDescent="0.25">
      <c r="A191" t="s">
        <v>153</v>
      </c>
    </row>
    <row r="192" spans="1:1" x14ac:dyDescent="0.25">
      <c r="A192" t="s">
        <v>154</v>
      </c>
    </row>
    <row r="193" spans="1:1" x14ac:dyDescent="0.25">
      <c r="A193" t="s">
        <v>155</v>
      </c>
    </row>
    <row r="194" spans="1:1" x14ac:dyDescent="0.25">
      <c r="A194" t="s">
        <v>156</v>
      </c>
    </row>
    <row r="196" spans="1:1" x14ac:dyDescent="0.25">
      <c r="A196" t="s">
        <v>157</v>
      </c>
    </row>
    <row r="197" spans="1:1" x14ac:dyDescent="0.25">
      <c r="A197" t="s">
        <v>158</v>
      </c>
    </row>
    <row r="198" spans="1:1" x14ac:dyDescent="0.25">
      <c r="A198" t="s">
        <v>159</v>
      </c>
    </row>
    <row r="199" spans="1:1" x14ac:dyDescent="0.25">
      <c r="A199" t="s">
        <v>160</v>
      </c>
    </row>
    <row r="200" spans="1:1" x14ac:dyDescent="0.25">
      <c r="A200" t="s">
        <v>161</v>
      </c>
    </row>
    <row r="201" spans="1:1" x14ac:dyDescent="0.25">
      <c r="A201" t="s">
        <v>162</v>
      </c>
    </row>
    <row r="202" spans="1:1" x14ac:dyDescent="0.25">
      <c r="A202" t="s">
        <v>163</v>
      </c>
    </row>
    <row r="204" spans="1:1" x14ac:dyDescent="0.25">
      <c r="A204" t="s">
        <v>164</v>
      </c>
    </row>
    <row r="205" spans="1:1" x14ac:dyDescent="0.25">
      <c r="A205" t="s">
        <v>165</v>
      </c>
    </row>
    <row r="206" spans="1:1" x14ac:dyDescent="0.25">
      <c r="A206" t="s">
        <v>166</v>
      </c>
    </row>
    <row r="207" spans="1:1" x14ac:dyDescent="0.25">
      <c r="A207" t="s">
        <v>167</v>
      </c>
    </row>
    <row r="208" spans="1:1" x14ac:dyDescent="0.25">
      <c r="A208" t="s">
        <v>168</v>
      </c>
    </row>
    <row r="209" spans="1:1" x14ac:dyDescent="0.25">
      <c r="A209" t="s">
        <v>169</v>
      </c>
    </row>
    <row r="210" spans="1:1" x14ac:dyDescent="0.25">
      <c r="A210" t="s">
        <v>170</v>
      </c>
    </row>
    <row r="212" spans="1:1" x14ac:dyDescent="0.25">
      <c r="A212" t="s">
        <v>171</v>
      </c>
    </row>
    <row r="213" spans="1:1" x14ac:dyDescent="0.25">
      <c r="A213" t="s">
        <v>172</v>
      </c>
    </row>
    <row r="214" spans="1:1" x14ac:dyDescent="0.25">
      <c r="A214" t="s">
        <v>173</v>
      </c>
    </row>
    <row r="215" spans="1:1" x14ac:dyDescent="0.25">
      <c r="A215" t="s">
        <v>174</v>
      </c>
    </row>
    <row r="216" spans="1:1" x14ac:dyDescent="0.25">
      <c r="A216" t="s">
        <v>175</v>
      </c>
    </row>
    <row r="217" spans="1:1" x14ac:dyDescent="0.25">
      <c r="A217" t="s">
        <v>176</v>
      </c>
    </row>
    <row r="218" spans="1:1" x14ac:dyDescent="0.25">
      <c r="A218" t="s">
        <v>177</v>
      </c>
    </row>
    <row r="219" spans="1:1" x14ac:dyDescent="0.25">
      <c r="A219" t="s">
        <v>84</v>
      </c>
    </row>
    <row r="221" spans="1:1" x14ac:dyDescent="0.25">
      <c r="A221" t="s">
        <v>92</v>
      </c>
    </row>
    <row r="222" spans="1:1" x14ac:dyDescent="0.25">
      <c r="A222" t="s">
        <v>178</v>
      </c>
    </row>
    <row r="223" spans="1:1" x14ac:dyDescent="0.25">
      <c r="A223" t="s">
        <v>94</v>
      </c>
    </row>
    <row r="224" spans="1:1" x14ac:dyDescent="0.25">
      <c r="A224" t="s">
        <v>95</v>
      </c>
    </row>
    <row r="225" spans="1:1" x14ac:dyDescent="0.25">
      <c r="A225" t="s">
        <v>96</v>
      </c>
    </row>
    <row r="226" spans="1:1" x14ac:dyDescent="0.25">
      <c r="A226" t="s">
        <v>97</v>
      </c>
    </row>
    <row r="227" spans="1:1" x14ac:dyDescent="0.25">
      <c r="A227" t="s">
        <v>98</v>
      </c>
    </row>
    <row r="228" spans="1:1" x14ac:dyDescent="0.25">
      <c r="A228" t="s">
        <v>99</v>
      </c>
    </row>
    <row r="229" spans="1:1" x14ac:dyDescent="0.25">
      <c r="A229" t="s">
        <v>100</v>
      </c>
    </row>
    <row r="231" spans="1:1" x14ac:dyDescent="0.25">
      <c r="A231" t="s">
        <v>179</v>
      </c>
    </row>
    <row r="232" spans="1:1" x14ac:dyDescent="0.25">
      <c r="A232" t="s">
        <v>180</v>
      </c>
    </row>
    <row r="233" spans="1:1" x14ac:dyDescent="0.25">
      <c r="A233" t="s">
        <v>181</v>
      </c>
    </row>
    <row r="234" spans="1:1" x14ac:dyDescent="0.25">
      <c r="A234" t="s">
        <v>182</v>
      </c>
    </row>
    <row r="235" spans="1:1" x14ac:dyDescent="0.25">
      <c r="A235" t="s">
        <v>183</v>
      </c>
    </row>
    <row r="236" spans="1:1" x14ac:dyDescent="0.25">
      <c r="A236" t="s">
        <v>184</v>
      </c>
    </row>
    <row r="237" spans="1:1" x14ac:dyDescent="0.25">
      <c r="A237" t="s">
        <v>185</v>
      </c>
    </row>
    <row r="240" spans="1:1" x14ac:dyDescent="0.25">
      <c r="A240" t="s">
        <v>108</v>
      </c>
    </row>
    <row r="241" spans="1:1" x14ac:dyDescent="0.25">
      <c r="A241" t="s">
        <v>109</v>
      </c>
    </row>
    <row r="242" spans="1:1" x14ac:dyDescent="0.25">
      <c r="A242" t="s">
        <v>110</v>
      </c>
    </row>
    <row r="243" spans="1:1" x14ac:dyDescent="0.25">
      <c r="A243" t="s">
        <v>111</v>
      </c>
    </row>
    <row r="244" spans="1:1" x14ac:dyDescent="0.25">
      <c r="A244" t="s">
        <v>112</v>
      </c>
    </row>
    <row r="245" spans="1:1" x14ac:dyDescent="0.25">
      <c r="A245" t="s">
        <v>113</v>
      </c>
    </row>
    <row r="246" spans="1:1" x14ac:dyDescent="0.25">
      <c r="A246" t="s">
        <v>114</v>
      </c>
    </row>
    <row r="248" spans="1:1" x14ac:dyDescent="0.25">
      <c r="A248" t="s">
        <v>186</v>
      </c>
    </row>
    <row r="249" spans="1:1" x14ac:dyDescent="0.25">
      <c r="A249" t="s">
        <v>187</v>
      </c>
    </row>
    <row r="250" spans="1:1" x14ac:dyDescent="0.25">
      <c r="A250" t="s">
        <v>188</v>
      </c>
    </row>
    <row r="251" spans="1:1" x14ac:dyDescent="0.25">
      <c r="A251" t="s">
        <v>189</v>
      </c>
    </row>
    <row r="252" spans="1:1" x14ac:dyDescent="0.25">
      <c r="A252" t="s">
        <v>190</v>
      </c>
    </row>
    <row r="253" spans="1:1" x14ac:dyDescent="0.25">
      <c r="A253" t="s">
        <v>191</v>
      </c>
    </row>
    <row r="254" spans="1:1" x14ac:dyDescent="0.25">
      <c r="A254" t="s">
        <v>192</v>
      </c>
    </row>
    <row r="256" spans="1:1" x14ac:dyDescent="0.25">
      <c r="A256" t="s">
        <v>122</v>
      </c>
    </row>
    <row r="257" spans="1:1" x14ac:dyDescent="0.25">
      <c r="A257" t="s">
        <v>123</v>
      </c>
    </row>
    <row r="258" spans="1:1" x14ac:dyDescent="0.25">
      <c r="A258" t="s">
        <v>124</v>
      </c>
    </row>
    <row r="259" spans="1:1" x14ac:dyDescent="0.25">
      <c r="A259" t="s">
        <v>125</v>
      </c>
    </row>
    <row r="260" spans="1:1" x14ac:dyDescent="0.25">
      <c r="A260" t="s">
        <v>126</v>
      </c>
    </row>
    <row r="261" spans="1:1" x14ac:dyDescent="0.25">
      <c r="A261" t="s">
        <v>127</v>
      </c>
    </row>
    <row r="262" spans="1:1" x14ac:dyDescent="0.25">
      <c r="A262" t="s">
        <v>128</v>
      </c>
    </row>
    <row r="264" spans="1:1" x14ac:dyDescent="0.25">
      <c r="A264" t="s">
        <v>193</v>
      </c>
    </row>
    <row r="265" spans="1:1" x14ac:dyDescent="0.25">
      <c r="A265" t="s">
        <v>194</v>
      </c>
    </row>
    <row r="266" spans="1:1" x14ac:dyDescent="0.25">
      <c r="A266" t="s">
        <v>195</v>
      </c>
    </row>
    <row r="267" spans="1:1" x14ac:dyDescent="0.25">
      <c r="A267" t="s">
        <v>196</v>
      </c>
    </row>
    <row r="268" spans="1:1" x14ac:dyDescent="0.25">
      <c r="A268" t="s">
        <v>197</v>
      </c>
    </row>
    <row r="269" spans="1:1" x14ac:dyDescent="0.25">
      <c r="A269" t="s">
        <v>198</v>
      </c>
    </row>
    <row r="270" spans="1:1" x14ac:dyDescent="0.25">
      <c r="A270" t="s">
        <v>199</v>
      </c>
    </row>
    <row r="272" spans="1:1" x14ac:dyDescent="0.25">
      <c r="A272" t="s">
        <v>136</v>
      </c>
    </row>
    <row r="273" spans="1:1" x14ac:dyDescent="0.25">
      <c r="A273" t="s">
        <v>137</v>
      </c>
    </row>
    <row r="274" spans="1:1" x14ac:dyDescent="0.25">
      <c r="A274" t="s">
        <v>138</v>
      </c>
    </row>
    <row r="275" spans="1:1" x14ac:dyDescent="0.25">
      <c r="A275" t="s">
        <v>139</v>
      </c>
    </row>
    <row r="276" spans="1:1" x14ac:dyDescent="0.25">
      <c r="A276" t="s">
        <v>140</v>
      </c>
    </row>
    <row r="277" spans="1:1" x14ac:dyDescent="0.25">
      <c r="A277" t="s">
        <v>141</v>
      </c>
    </row>
    <row r="278" spans="1:1" x14ac:dyDescent="0.25">
      <c r="A278" t="s">
        <v>142</v>
      </c>
    </row>
    <row r="280" spans="1:1" x14ac:dyDescent="0.25">
      <c r="A280" t="s">
        <v>200</v>
      </c>
    </row>
    <row r="281" spans="1:1" x14ac:dyDescent="0.25">
      <c r="A281" t="s">
        <v>201</v>
      </c>
    </row>
    <row r="282" spans="1:1" x14ac:dyDescent="0.25">
      <c r="A282" t="s">
        <v>202</v>
      </c>
    </row>
    <row r="283" spans="1:1" x14ac:dyDescent="0.25">
      <c r="A283" t="s">
        <v>203</v>
      </c>
    </row>
    <row r="284" spans="1:1" x14ac:dyDescent="0.25">
      <c r="A284" t="s">
        <v>204</v>
      </c>
    </row>
    <row r="285" spans="1:1" x14ac:dyDescent="0.25">
      <c r="A285" t="s">
        <v>205</v>
      </c>
    </row>
    <row r="286" spans="1:1" x14ac:dyDescent="0.25">
      <c r="A286" t="s">
        <v>206</v>
      </c>
    </row>
    <row r="288" spans="1:1" x14ac:dyDescent="0.25">
      <c r="A288" t="s">
        <v>150</v>
      </c>
    </row>
    <row r="289" spans="1:1" x14ac:dyDescent="0.25">
      <c r="A289" t="s">
        <v>151</v>
      </c>
    </row>
    <row r="290" spans="1:1" x14ac:dyDescent="0.25">
      <c r="A290" t="s">
        <v>152</v>
      </c>
    </row>
    <row r="291" spans="1:1" x14ac:dyDescent="0.25">
      <c r="A291" t="s">
        <v>153</v>
      </c>
    </row>
    <row r="292" spans="1:1" x14ac:dyDescent="0.25">
      <c r="A292" t="s">
        <v>154</v>
      </c>
    </row>
    <row r="293" spans="1:1" x14ac:dyDescent="0.25">
      <c r="A293" t="s">
        <v>155</v>
      </c>
    </row>
    <row r="294" spans="1:1" x14ac:dyDescent="0.25">
      <c r="A294" t="s">
        <v>156</v>
      </c>
    </row>
    <row r="296" spans="1:1" x14ac:dyDescent="0.25">
      <c r="A296" t="s">
        <v>207</v>
      </c>
    </row>
    <row r="297" spans="1:1" x14ac:dyDescent="0.25">
      <c r="A297" t="s">
        <v>208</v>
      </c>
    </row>
    <row r="298" spans="1:1" x14ac:dyDescent="0.25">
      <c r="A298" t="s">
        <v>209</v>
      </c>
    </row>
    <row r="299" spans="1:1" x14ac:dyDescent="0.25">
      <c r="A299" t="s">
        <v>210</v>
      </c>
    </row>
    <row r="300" spans="1:1" x14ac:dyDescent="0.25">
      <c r="A300" t="s">
        <v>211</v>
      </c>
    </row>
    <row r="301" spans="1:1" x14ac:dyDescent="0.25">
      <c r="A301" t="s">
        <v>212</v>
      </c>
    </row>
    <row r="302" spans="1:1" x14ac:dyDescent="0.25">
      <c r="A302" t="s">
        <v>213</v>
      </c>
    </row>
    <row r="304" spans="1:1" x14ac:dyDescent="0.25">
      <c r="A304" t="s">
        <v>164</v>
      </c>
    </row>
    <row r="305" spans="1:1" x14ac:dyDescent="0.25">
      <c r="A305" t="s">
        <v>165</v>
      </c>
    </row>
    <row r="306" spans="1:1" x14ac:dyDescent="0.25">
      <c r="A306" t="s">
        <v>166</v>
      </c>
    </row>
    <row r="307" spans="1:1" x14ac:dyDescent="0.25">
      <c r="A307" t="s">
        <v>167</v>
      </c>
    </row>
    <row r="308" spans="1:1" x14ac:dyDescent="0.25">
      <c r="A308" t="s">
        <v>168</v>
      </c>
    </row>
    <row r="309" spans="1:1" x14ac:dyDescent="0.25">
      <c r="A309" t="s">
        <v>169</v>
      </c>
    </row>
    <row r="310" spans="1:1" x14ac:dyDescent="0.25">
      <c r="A310" t="s">
        <v>170</v>
      </c>
    </row>
    <row r="312" spans="1:1" x14ac:dyDescent="0.25">
      <c r="A312" t="s">
        <v>214</v>
      </c>
    </row>
    <row r="313" spans="1:1" x14ac:dyDescent="0.25">
      <c r="A313" t="s">
        <v>215</v>
      </c>
    </row>
    <row r="314" spans="1:1" x14ac:dyDescent="0.25">
      <c r="A314" t="s">
        <v>216</v>
      </c>
    </row>
    <row r="315" spans="1:1" x14ac:dyDescent="0.25">
      <c r="A315" t="s">
        <v>217</v>
      </c>
    </row>
    <row r="316" spans="1:1" x14ac:dyDescent="0.25">
      <c r="A316" t="s">
        <v>218</v>
      </c>
    </row>
    <row r="317" spans="1:1" x14ac:dyDescent="0.25">
      <c r="A317" t="s">
        <v>219</v>
      </c>
    </row>
    <row r="318" spans="1:1" x14ac:dyDescent="0.25">
      <c r="A318" t="s">
        <v>220</v>
      </c>
    </row>
    <row r="319" spans="1:1" x14ac:dyDescent="0.25">
      <c r="A319" t="s">
        <v>221</v>
      </c>
    </row>
    <row r="321" spans="1:4" x14ac:dyDescent="0.25">
      <c r="A321" t="s">
        <v>222</v>
      </c>
    </row>
    <row r="322" spans="1:4" x14ac:dyDescent="0.25">
      <c r="A322" t="s">
        <v>223</v>
      </c>
    </row>
    <row r="323" spans="1:4" x14ac:dyDescent="0.25">
      <c r="A323">
        <v>1</v>
      </c>
      <c r="B323">
        <v>1</v>
      </c>
      <c r="C323">
        <v>1</v>
      </c>
      <c r="D323">
        <v>0</v>
      </c>
    </row>
    <row r="324" spans="1:4" x14ac:dyDescent="0.25">
      <c r="A324">
        <v>1</v>
      </c>
      <c r="B324">
        <v>2</v>
      </c>
      <c r="C324">
        <v>1</v>
      </c>
      <c r="D324">
        <v>0</v>
      </c>
    </row>
    <row r="325" spans="1:4" x14ac:dyDescent="0.25">
      <c r="A325">
        <v>2</v>
      </c>
      <c r="B325">
        <v>2</v>
      </c>
      <c r="C325">
        <v>1</v>
      </c>
      <c r="D325">
        <v>5</v>
      </c>
    </row>
    <row r="326" spans="1:4" x14ac:dyDescent="0.25">
      <c r="A326">
        <v>3</v>
      </c>
      <c r="B326">
        <v>4</v>
      </c>
      <c r="C326">
        <v>1</v>
      </c>
      <c r="D326">
        <v>3</v>
      </c>
    </row>
    <row r="327" spans="1:4" x14ac:dyDescent="0.25">
      <c r="A327">
        <v>3</v>
      </c>
      <c r="B327">
        <v>2</v>
      </c>
      <c r="C327">
        <v>1</v>
      </c>
      <c r="D327">
        <v>0</v>
      </c>
    </row>
    <row r="328" spans="1:4" x14ac:dyDescent="0.25">
      <c r="A328">
        <v>4</v>
      </c>
      <c r="B328">
        <v>3</v>
      </c>
      <c r="C328">
        <v>1</v>
      </c>
      <c r="D328">
        <v>4</v>
      </c>
    </row>
    <row r="329" spans="1:4" x14ac:dyDescent="0.25">
      <c r="A329">
        <v>5</v>
      </c>
      <c r="B329">
        <v>3</v>
      </c>
      <c r="C329">
        <v>1</v>
      </c>
      <c r="D329">
        <v>1</v>
      </c>
    </row>
    <row r="330" spans="1:4" x14ac:dyDescent="0.25">
      <c r="A330">
        <v>6</v>
      </c>
      <c r="B330">
        <v>4</v>
      </c>
      <c r="C330">
        <v>1</v>
      </c>
      <c r="D330">
        <v>3</v>
      </c>
    </row>
    <row r="331" spans="1:4" x14ac:dyDescent="0.25">
      <c r="A331">
        <v>1</v>
      </c>
      <c r="B331">
        <v>1</v>
      </c>
      <c r="C331">
        <v>2</v>
      </c>
      <c r="D331">
        <v>0</v>
      </c>
    </row>
    <row r="332" spans="1:4" x14ac:dyDescent="0.25">
      <c r="A332">
        <v>1</v>
      </c>
      <c r="B332">
        <v>2</v>
      </c>
      <c r="C332">
        <v>2</v>
      </c>
      <c r="D332">
        <v>0</v>
      </c>
    </row>
    <row r="333" spans="1:4" x14ac:dyDescent="0.25">
      <c r="A333">
        <v>2</v>
      </c>
      <c r="B333">
        <v>2</v>
      </c>
      <c r="C333">
        <v>2</v>
      </c>
      <c r="D333">
        <v>10</v>
      </c>
    </row>
    <row r="334" spans="1:4" x14ac:dyDescent="0.25">
      <c r="A334">
        <v>3</v>
      </c>
      <c r="B334">
        <v>4</v>
      </c>
      <c r="C334">
        <v>2</v>
      </c>
      <c r="D334">
        <v>6</v>
      </c>
    </row>
    <row r="335" spans="1:4" x14ac:dyDescent="0.25">
      <c r="A335">
        <v>3</v>
      </c>
      <c r="B335">
        <v>2</v>
      </c>
      <c r="C335">
        <v>2</v>
      </c>
      <c r="D335">
        <v>1</v>
      </c>
    </row>
    <row r="336" spans="1:4" x14ac:dyDescent="0.25">
      <c r="A336">
        <v>4</v>
      </c>
      <c r="B336">
        <v>3</v>
      </c>
      <c r="C336">
        <v>2</v>
      </c>
      <c r="D336">
        <v>8</v>
      </c>
    </row>
    <row r="337" spans="1:4" x14ac:dyDescent="0.25">
      <c r="A337">
        <v>5</v>
      </c>
      <c r="B337">
        <v>3</v>
      </c>
      <c r="C337">
        <v>2</v>
      </c>
      <c r="D337">
        <v>2</v>
      </c>
    </row>
    <row r="338" spans="1:4" x14ac:dyDescent="0.25">
      <c r="A338">
        <v>6</v>
      </c>
      <c r="B338">
        <v>4</v>
      </c>
      <c r="C338">
        <v>2</v>
      </c>
      <c r="D338">
        <v>7</v>
      </c>
    </row>
    <row r="339" spans="1:4" x14ac:dyDescent="0.25">
      <c r="A339">
        <v>1</v>
      </c>
      <c r="B339">
        <v>1</v>
      </c>
      <c r="C339">
        <v>3</v>
      </c>
      <c r="D339">
        <v>0</v>
      </c>
    </row>
    <row r="340" spans="1:4" x14ac:dyDescent="0.25">
      <c r="A340">
        <v>1</v>
      </c>
      <c r="B340">
        <v>2</v>
      </c>
      <c r="C340">
        <v>3</v>
      </c>
      <c r="D340">
        <v>0</v>
      </c>
    </row>
    <row r="341" spans="1:4" x14ac:dyDescent="0.25">
      <c r="A341">
        <v>2</v>
      </c>
      <c r="B341">
        <v>2</v>
      </c>
      <c r="C341">
        <v>3</v>
      </c>
      <c r="D341">
        <v>15</v>
      </c>
    </row>
    <row r="342" spans="1:4" x14ac:dyDescent="0.25">
      <c r="A342">
        <v>3</v>
      </c>
      <c r="B342">
        <v>4</v>
      </c>
      <c r="C342">
        <v>3</v>
      </c>
      <c r="D342">
        <v>9</v>
      </c>
    </row>
    <row r="343" spans="1:4" x14ac:dyDescent="0.25">
      <c r="A343">
        <v>3</v>
      </c>
      <c r="B343">
        <v>2</v>
      </c>
      <c r="C343">
        <v>3</v>
      </c>
      <c r="D343">
        <v>1</v>
      </c>
    </row>
    <row r="344" spans="1:4" x14ac:dyDescent="0.25">
      <c r="A344">
        <v>4</v>
      </c>
      <c r="B344">
        <v>3</v>
      </c>
      <c r="C344">
        <v>3</v>
      </c>
      <c r="D344">
        <v>12</v>
      </c>
    </row>
    <row r="345" spans="1:4" x14ac:dyDescent="0.25">
      <c r="A345">
        <v>5</v>
      </c>
      <c r="B345">
        <v>3</v>
      </c>
      <c r="C345">
        <v>3</v>
      </c>
      <c r="D345">
        <v>3</v>
      </c>
    </row>
    <row r="346" spans="1:4" x14ac:dyDescent="0.25">
      <c r="A346">
        <v>6</v>
      </c>
      <c r="B346">
        <v>4</v>
      </c>
      <c r="C346">
        <v>3</v>
      </c>
      <c r="D346">
        <v>10</v>
      </c>
    </row>
    <row r="347" spans="1:4" x14ac:dyDescent="0.25">
      <c r="A347">
        <v>1</v>
      </c>
      <c r="B347">
        <v>1</v>
      </c>
      <c r="C347">
        <v>4</v>
      </c>
      <c r="D347">
        <v>0</v>
      </c>
    </row>
    <row r="348" spans="1:4" x14ac:dyDescent="0.25">
      <c r="A348">
        <v>1</v>
      </c>
      <c r="B348">
        <v>2</v>
      </c>
      <c r="C348">
        <v>4</v>
      </c>
      <c r="D348">
        <v>0</v>
      </c>
    </row>
    <row r="349" spans="1:4" x14ac:dyDescent="0.25">
      <c r="A349">
        <v>2</v>
      </c>
      <c r="B349">
        <v>2</v>
      </c>
      <c r="C349">
        <v>4</v>
      </c>
      <c r="D349">
        <v>20</v>
      </c>
    </row>
    <row r="350" spans="1:4" x14ac:dyDescent="0.25">
      <c r="A350">
        <v>3</v>
      </c>
      <c r="B350">
        <v>4</v>
      </c>
      <c r="C350">
        <v>4</v>
      </c>
      <c r="D350">
        <v>12</v>
      </c>
    </row>
    <row r="351" spans="1:4" x14ac:dyDescent="0.25">
      <c r="A351">
        <v>3</v>
      </c>
      <c r="B351">
        <v>2</v>
      </c>
      <c r="C351">
        <v>4</v>
      </c>
      <c r="D351">
        <v>2</v>
      </c>
    </row>
    <row r="352" spans="1:4" x14ac:dyDescent="0.25">
      <c r="A352">
        <v>4</v>
      </c>
      <c r="B352">
        <v>3</v>
      </c>
      <c r="C352">
        <v>4</v>
      </c>
      <c r="D352">
        <v>16</v>
      </c>
    </row>
    <row r="353" spans="1:4" x14ac:dyDescent="0.25">
      <c r="A353">
        <v>5</v>
      </c>
      <c r="B353">
        <v>3</v>
      </c>
      <c r="C353">
        <v>4</v>
      </c>
      <c r="D353">
        <v>4</v>
      </c>
    </row>
    <row r="354" spans="1:4" x14ac:dyDescent="0.25">
      <c r="A354">
        <v>6</v>
      </c>
      <c r="B354">
        <v>4</v>
      </c>
      <c r="C354">
        <v>4</v>
      </c>
      <c r="D354">
        <v>14</v>
      </c>
    </row>
    <row r="356" spans="1:4" x14ac:dyDescent="0.25">
      <c r="A356" t="s">
        <v>224</v>
      </c>
    </row>
    <row r="357" spans="1:4" x14ac:dyDescent="0.25">
      <c r="A357" t="s">
        <v>225</v>
      </c>
    </row>
    <row r="358" spans="1:4" x14ac:dyDescent="0.25">
      <c r="A358" t="s">
        <v>226</v>
      </c>
    </row>
    <row r="359" spans="1:4" x14ac:dyDescent="0.25">
      <c r="A359">
        <v>1</v>
      </c>
      <c r="B359">
        <v>1</v>
      </c>
      <c r="C359">
        <v>1</v>
      </c>
      <c r="D359">
        <v>5</v>
      </c>
    </row>
    <row r="360" spans="1:4" x14ac:dyDescent="0.25">
      <c r="A360">
        <v>1</v>
      </c>
      <c r="B360">
        <v>2</v>
      </c>
      <c r="C360">
        <v>1</v>
      </c>
      <c r="D360">
        <v>4</v>
      </c>
    </row>
    <row r="361" spans="1:4" x14ac:dyDescent="0.25">
      <c r="A361">
        <v>2</v>
      </c>
      <c r="B361">
        <v>2</v>
      </c>
      <c r="C361">
        <v>1</v>
      </c>
      <c r="D361">
        <v>5</v>
      </c>
    </row>
    <row r="362" spans="1:4" x14ac:dyDescent="0.25">
      <c r="A362">
        <v>3</v>
      </c>
      <c r="B362">
        <v>4</v>
      </c>
      <c r="C362">
        <v>1</v>
      </c>
      <c r="D362">
        <v>3</v>
      </c>
    </row>
    <row r="363" spans="1:4" x14ac:dyDescent="0.25">
      <c r="A363">
        <v>3</v>
      </c>
      <c r="B363">
        <v>2</v>
      </c>
      <c r="C363">
        <v>1</v>
      </c>
      <c r="D363">
        <v>1</v>
      </c>
    </row>
    <row r="364" spans="1:4" x14ac:dyDescent="0.25">
      <c r="A364">
        <v>4</v>
      </c>
      <c r="B364">
        <v>3</v>
      </c>
      <c r="C364">
        <v>1</v>
      </c>
      <c r="D364">
        <v>4</v>
      </c>
    </row>
    <row r="365" spans="1:4" x14ac:dyDescent="0.25">
      <c r="A365">
        <v>5</v>
      </c>
      <c r="B365">
        <v>3</v>
      </c>
      <c r="C365">
        <v>1</v>
      </c>
      <c r="D365">
        <v>3</v>
      </c>
    </row>
    <row r="366" spans="1:4" x14ac:dyDescent="0.25">
      <c r="A366">
        <v>6</v>
      </c>
      <c r="B366">
        <v>4</v>
      </c>
      <c r="C366">
        <v>1</v>
      </c>
      <c r="D366">
        <v>4</v>
      </c>
    </row>
    <row r="367" spans="1:4" x14ac:dyDescent="0.25">
      <c r="A367">
        <v>1</v>
      </c>
      <c r="B367">
        <v>1</v>
      </c>
      <c r="C367">
        <v>2</v>
      </c>
      <c r="D367">
        <v>10</v>
      </c>
    </row>
    <row r="368" spans="1:4" x14ac:dyDescent="0.25">
      <c r="A368">
        <v>1</v>
      </c>
      <c r="B368">
        <v>2</v>
      </c>
      <c r="C368">
        <v>2</v>
      </c>
      <c r="D368">
        <v>8</v>
      </c>
    </row>
    <row r="369" spans="1:4" x14ac:dyDescent="0.25">
      <c r="A369">
        <v>2</v>
      </c>
      <c r="B369">
        <v>2</v>
      </c>
      <c r="C369">
        <v>2</v>
      </c>
      <c r="D369">
        <v>10</v>
      </c>
    </row>
    <row r="370" spans="1:4" x14ac:dyDescent="0.25">
      <c r="A370">
        <v>3</v>
      </c>
      <c r="B370">
        <v>4</v>
      </c>
      <c r="C370">
        <v>2</v>
      </c>
      <c r="D370">
        <v>6</v>
      </c>
    </row>
    <row r="371" spans="1:4" x14ac:dyDescent="0.25">
      <c r="A371">
        <v>3</v>
      </c>
      <c r="B371">
        <v>2</v>
      </c>
      <c r="C371">
        <v>2</v>
      </c>
      <c r="D371">
        <v>1</v>
      </c>
    </row>
    <row r="372" spans="1:4" x14ac:dyDescent="0.25">
      <c r="A372">
        <v>4</v>
      </c>
      <c r="B372">
        <v>3</v>
      </c>
      <c r="C372">
        <v>2</v>
      </c>
      <c r="D372">
        <v>8</v>
      </c>
    </row>
    <row r="373" spans="1:4" x14ac:dyDescent="0.25">
      <c r="A373">
        <v>5</v>
      </c>
      <c r="B373">
        <v>3</v>
      </c>
      <c r="C373">
        <v>2</v>
      </c>
      <c r="D373">
        <v>6</v>
      </c>
    </row>
    <row r="374" spans="1:4" x14ac:dyDescent="0.25">
      <c r="A374">
        <v>6</v>
      </c>
      <c r="B374">
        <v>4</v>
      </c>
      <c r="C374">
        <v>2</v>
      </c>
      <c r="D374">
        <v>7</v>
      </c>
    </row>
    <row r="375" spans="1:4" x14ac:dyDescent="0.25">
      <c r="A375">
        <v>1</v>
      </c>
      <c r="B375">
        <v>1</v>
      </c>
      <c r="C375">
        <v>3</v>
      </c>
      <c r="D375">
        <v>15</v>
      </c>
    </row>
    <row r="376" spans="1:4" x14ac:dyDescent="0.25">
      <c r="A376">
        <v>1</v>
      </c>
      <c r="B376">
        <v>2</v>
      </c>
      <c r="C376">
        <v>3</v>
      </c>
      <c r="D376">
        <v>12</v>
      </c>
    </row>
    <row r="377" spans="1:4" x14ac:dyDescent="0.25">
      <c r="A377">
        <v>2</v>
      </c>
      <c r="B377">
        <v>2</v>
      </c>
      <c r="C377">
        <v>3</v>
      </c>
      <c r="D377">
        <v>15</v>
      </c>
    </row>
    <row r="378" spans="1:4" x14ac:dyDescent="0.25">
      <c r="A378">
        <v>3</v>
      </c>
      <c r="B378">
        <v>4</v>
      </c>
      <c r="C378">
        <v>3</v>
      </c>
      <c r="D378">
        <v>9</v>
      </c>
    </row>
    <row r="379" spans="1:4" x14ac:dyDescent="0.25">
      <c r="A379">
        <v>3</v>
      </c>
      <c r="B379">
        <v>2</v>
      </c>
      <c r="C379">
        <v>3</v>
      </c>
      <c r="D379">
        <v>2</v>
      </c>
    </row>
    <row r="380" spans="1:4" x14ac:dyDescent="0.25">
      <c r="A380">
        <v>4</v>
      </c>
      <c r="B380">
        <v>3</v>
      </c>
      <c r="C380">
        <v>3</v>
      </c>
      <c r="D380">
        <v>12</v>
      </c>
    </row>
    <row r="381" spans="1:4" x14ac:dyDescent="0.25">
      <c r="A381">
        <v>5</v>
      </c>
      <c r="B381">
        <v>3</v>
      </c>
      <c r="C381">
        <v>3</v>
      </c>
      <c r="D381">
        <v>9</v>
      </c>
    </row>
    <row r="382" spans="1:4" x14ac:dyDescent="0.25">
      <c r="A382">
        <v>6</v>
      </c>
      <c r="B382">
        <v>4</v>
      </c>
      <c r="C382">
        <v>3</v>
      </c>
      <c r="D382">
        <v>11</v>
      </c>
    </row>
    <row r="383" spans="1:4" x14ac:dyDescent="0.25">
      <c r="A383">
        <v>1</v>
      </c>
      <c r="B383">
        <v>1</v>
      </c>
      <c r="C383">
        <v>4</v>
      </c>
      <c r="D383">
        <v>20</v>
      </c>
    </row>
    <row r="384" spans="1:4" x14ac:dyDescent="0.25">
      <c r="A384">
        <v>1</v>
      </c>
      <c r="B384">
        <v>2</v>
      </c>
      <c r="C384">
        <v>4</v>
      </c>
      <c r="D384">
        <v>16</v>
      </c>
    </row>
    <row r="385" spans="1:4" x14ac:dyDescent="0.25">
      <c r="A385">
        <v>2</v>
      </c>
      <c r="B385">
        <v>2</v>
      </c>
      <c r="C385">
        <v>4</v>
      </c>
      <c r="D385">
        <v>20</v>
      </c>
    </row>
    <row r="386" spans="1:4" x14ac:dyDescent="0.25">
      <c r="A386">
        <v>3</v>
      </c>
      <c r="B386">
        <v>4</v>
      </c>
      <c r="C386">
        <v>4</v>
      </c>
      <c r="D386">
        <v>12</v>
      </c>
    </row>
    <row r="387" spans="1:4" x14ac:dyDescent="0.25">
      <c r="A387">
        <v>3</v>
      </c>
      <c r="B387">
        <v>2</v>
      </c>
      <c r="C387">
        <v>4</v>
      </c>
      <c r="D387">
        <v>2</v>
      </c>
    </row>
    <row r="388" spans="1:4" x14ac:dyDescent="0.25">
      <c r="A388">
        <v>4</v>
      </c>
      <c r="B388">
        <v>3</v>
      </c>
      <c r="C388">
        <v>4</v>
      </c>
      <c r="D388">
        <v>16</v>
      </c>
    </row>
    <row r="389" spans="1:4" x14ac:dyDescent="0.25">
      <c r="A389">
        <v>5</v>
      </c>
      <c r="B389">
        <v>3</v>
      </c>
      <c r="C389">
        <v>4</v>
      </c>
      <c r="D389">
        <v>12</v>
      </c>
    </row>
    <row r="390" spans="1:4" x14ac:dyDescent="0.25">
      <c r="A390">
        <v>6</v>
      </c>
      <c r="B390">
        <v>4</v>
      </c>
      <c r="C390">
        <v>4</v>
      </c>
      <c r="D390">
        <v>14</v>
      </c>
    </row>
    <row r="392" spans="1:4" x14ac:dyDescent="0.25">
      <c r="A392" t="s">
        <v>84</v>
      </c>
    </row>
    <row r="395" spans="1:4" x14ac:dyDescent="0.25">
      <c r="A395" t="s">
        <v>227</v>
      </c>
    </row>
    <row r="397" spans="1:4" x14ac:dyDescent="0.25">
      <c r="A397" t="s">
        <v>228</v>
      </c>
    </row>
    <row r="398" spans="1:4" x14ac:dyDescent="0.25">
      <c r="A398">
        <v>1</v>
      </c>
      <c r="B398">
        <v>1</v>
      </c>
      <c r="C398">
        <v>1</v>
      </c>
      <c r="D398">
        <v>0</v>
      </c>
    </row>
    <row r="399" spans="1:4" x14ac:dyDescent="0.25">
      <c r="A399">
        <v>1</v>
      </c>
      <c r="B399">
        <v>2</v>
      </c>
      <c r="C399">
        <v>1</v>
      </c>
      <c r="D399">
        <v>0</v>
      </c>
    </row>
    <row r="400" spans="1:4" x14ac:dyDescent="0.25">
      <c r="A400">
        <v>2</v>
      </c>
      <c r="B400">
        <v>2</v>
      </c>
      <c r="C400">
        <v>1</v>
      </c>
      <c r="D400">
        <v>5</v>
      </c>
    </row>
    <row r="401" spans="1:4" x14ac:dyDescent="0.25">
      <c r="A401">
        <v>3</v>
      </c>
      <c r="B401">
        <v>4</v>
      </c>
      <c r="C401">
        <v>1</v>
      </c>
      <c r="D401">
        <v>3</v>
      </c>
    </row>
    <row r="402" spans="1:4" x14ac:dyDescent="0.25">
      <c r="A402">
        <v>3</v>
      </c>
      <c r="B402">
        <v>2</v>
      </c>
      <c r="C402">
        <v>1</v>
      </c>
      <c r="D402">
        <v>0</v>
      </c>
    </row>
    <row r="403" spans="1:4" x14ac:dyDescent="0.25">
      <c r="A403">
        <v>4</v>
      </c>
      <c r="B403">
        <v>3</v>
      </c>
      <c r="C403">
        <v>1</v>
      </c>
      <c r="D403">
        <v>4</v>
      </c>
    </row>
    <row r="404" spans="1:4" x14ac:dyDescent="0.25">
      <c r="A404">
        <v>5</v>
      </c>
      <c r="B404">
        <v>3</v>
      </c>
      <c r="C404">
        <v>1</v>
      </c>
      <c r="D404">
        <v>1</v>
      </c>
    </row>
    <row r="405" spans="1:4" x14ac:dyDescent="0.25">
      <c r="A405">
        <v>6</v>
      </c>
      <c r="B405">
        <v>4</v>
      </c>
      <c r="C405">
        <v>1</v>
      </c>
      <c r="D405">
        <v>3</v>
      </c>
    </row>
    <row r="406" spans="1:4" x14ac:dyDescent="0.25">
      <c r="A406">
        <v>1</v>
      </c>
      <c r="B406">
        <v>1</v>
      </c>
      <c r="C406">
        <v>2</v>
      </c>
      <c r="D406">
        <v>0</v>
      </c>
    </row>
    <row r="407" spans="1:4" x14ac:dyDescent="0.25">
      <c r="A407">
        <v>1</v>
      </c>
      <c r="B407">
        <v>2</v>
      </c>
      <c r="C407">
        <v>2</v>
      </c>
      <c r="D407">
        <v>0</v>
      </c>
    </row>
    <row r="408" spans="1:4" x14ac:dyDescent="0.25">
      <c r="A408">
        <v>2</v>
      </c>
      <c r="B408">
        <v>2</v>
      </c>
      <c r="C408">
        <v>2</v>
      </c>
      <c r="D408">
        <v>5</v>
      </c>
    </row>
    <row r="409" spans="1:4" x14ac:dyDescent="0.25">
      <c r="A409">
        <v>3</v>
      </c>
      <c r="B409">
        <v>4</v>
      </c>
      <c r="C409">
        <v>2</v>
      </c>
      <c r="D409">
        <v>3</v>
      </c>
    </row>
    <row r="410" spans="1:4" x14ac:dyDescent="0.25">
      <c r="A410">
        <v>3</v>
      </c>
      <c r="B410">
        <v>2</v>
      </c>
      <c r="C410">
        <v>2</v>
      </c>
      <c r="D410">
        <v>0</v>
      </c>
    </row>
    <row r="411" spans="1:4" x14ac:dyDescent="0.25">
      <c r="A411">
        <v>4</v>
      </c>
      <c r="B411">
        <v>3</v>
      </c>
      <c r="C411">
        <v>2</v>
      </c>
      <c r="D411">
        <v>4</v>
      </c>
    </row>
    <row r="412" spans="1:4" x14ac:dyDescent="0.25">
      <c r="A412">
        <v>5</v>
      </c>
      <c r="B412">
        <v>3</v>
      </c>
      <c r="C412">
        <v>2</v>
      </c>
      <c r="D412">
        <v>1</v>
      </c>
    </row>
    <row r="413" spans="1:4" x14ac:dyDescent="0.25">
      <c r="A413">
        <v>6</v>
      </c>
      <c r="B413">
        <v>4</v>
      </c>
      <c r="C413">
        <v>2</v>
      </c>
      <c r="D413">
        <v>3</v>
      </c>
    </row>
    <row r="414" spans="1:4" x14ac:dyDescent="0.25">
      <c r="A414">
        <v>1</v>
      </c>
      <c r="B414">
        <v>1</v>
      </c>
      <c r="C414">
        <v>3</v>
      </c>
      <c r="D414">
        <v>0</v>
      </c>
    </row>
    <row r="415" spans="1:4" x14ac:dyDescent="0.25">
      <c r="A415">
        <v>1</v>
      </c>
      <c r="B415">
        <v>2</v>
      </c>
      <c r="C415">
        <v>3</v>
      </c>
      <c r="D415">
        <v>0</v>
      </c>
    </row>
    <row r="416" spans="1:4" x14ac:dyDescent="0.25">
      <c r="A416">
        <v>2</v>
      </c>
      <c r="B416">
        <v>2</v>
      </c>
      <c r="C416">
        <v>3</v>
      </c>
      <c r="D416">
        <v>5</v>
      </c>
    </row>
    <row r="417" spans="1:4" x14ac:dyDescent="0.25">
      <c r="A417">
        <v>3</v>
      </c>
      <c r="B417">
        <v>4</v>
      </c>
      <c r="C417">
        <v>3</v>
      </c>
      <c r="D417">
        <v>3</v>
      </c>
    </row>
    <row r="418" spans="1:4" x14ac:dyDescent="0.25">
      <c r="A418">
        <v>3</v>
      </c>
      <c r="B418">
        <v>2</v>
      </c>
      <c r="C418">
        <v>3</v>
      </c>
      <c r="D418">
        <v>0</v>
      </c>
    </row>
    <row r="419" spans="1:4" x14ac:dyDescent="0.25">
      <c r="A419">
        <v>4</v>
      </c>
      <c r="B419">
        <v>3</v>
      </c>
      <c r="C419">
        <v>3</v>
      </c>
      <c r="D419">
        <v>4</v>
      </c>
    </row>
    <row r="420" spans="1:4" x14ac:dyDescent="0.25">
      <c r="A420">
        <v>5</v>
      </c>
      <c r="B420">
        <v>3</v>
      </c>
      <c r="C420">
        <v>3</v>
      </c>
      <c r="D420">
        <v>1</v>
      </c>
    </row>
    <row r="421" spans="1:4" x14ac:dyDescent="0.25">
      <c r="A421">
        <v>6</v>
      </c>
      <c r="B421">
        <v>4</v>
      </c>
      <c r="C421">
        <v>3</v>
      </c>
      <c r="D421">
        <v>3</v>
      </c>
    </row>
    <row r="422" spans="1:4" x14ac:dyDescent="0.25">
      <c r="A422">
        <v>1</v>
      </c>
      <c r="B422">
        <v>1</v>
      </c>
      <c r="C422">
        <v>4</v>
      </c>
      <c r="D422">
        <v>0</v>
      </c>
    </row>
    <row r="423" spans="1:4" x14ac:dyDescent="0.25">
      <c r="A423">
        <v>1</v>
      </c>
      <c r="B423">
        <v>2</v>
      </c>
      <c r="C423">
        <v>4</v>
      </c>
      <c r="D423">
        <v>0</v>
      </c>
    </row>
    <row r="424" spans="1:4" x14ac:dyDescent="0.25">
      <c r="A424">
        <v>2</v>
      </c>
      <c r="B424">
        <v>2</v>
      </c>
      <c r="C424">
        <v>4</v>
      </c>
      <c r="D424">
        <v>5</v>
      </c>
    </row>
    <row r="425" spans="1:4" x14ac:dyDescent="0.25">
      <c r="A425">
        <v>3</v>
      </c>
      <c r="B425">
        <v>4</v>
      </c>
      <c r="C425">
        <v>4</v>
      </c>
      <c r="D425">
        <v>3</v>
      </c>
    </row>
    <row r="426" spans="1:4" x14ac:dyDescent="0.25">
      <c r="A426">
        <v>3</v>
      </c>
      <c r="B426">
        <v>2</v>
      </c>
      <c r="C426">
        <v>4</v>
      </c>
      <c r="D426">
        <v>0</v>
      </c>
    </row>
    <row r="427" spans="1:4" x14ac:dyDescent="0.25">
      <c r="A427">
        <v>4</v>
      </c>
      <c r="B427">
        <v>3</v>
      </c>
      <c r="C427">
        <v>4</v>
      </c>
      <c r="D427">
        <v>4</v>
      </c>
    </row>
    <row r="428" spans="1:4" x14ac:dyDescent="0.25">
      <c r="A428">
        <v>5</v>
      </c>
      <c r="B428">
        <v>3</v>
      </c>
      <c r="C428">
        <v>4</v>
      </c>
      <c r="D428">
        <v>1</v>
      </c>
    </row>
    <row r="429" spans="1:4" x14ac:dyDescent="0.25">
      <c r="A429">
        <v>6</v>
      </c>
      <c r="B429">
        <v>4</v>
      </c>
      <c r="C429">
        <v>4</v>
      </c>
      <c r="D429">
        <v>3</v>
      </c>
    </row>
    <row r="431" spans="1:4" x14ac:dyDescent="0.25">
      <c r="A431" t="s">
        <v>224</v>
      </c>
    </row>
    <row r="432" spans="1:4" x14ac:dyDescent="0.25">
      <c r="A432" t="s">
        <v>225</v>
      </c>
    </row>
    <row r="433" spans="1:4" x14ac:dyDescent="0.25">
      <c r="A433" t="s">
        <v>229</v>
      </c>
    </row>
    <row r="434" spans="1:4" x14ac:dyDescent="0.25">
      <c r="A434">
        <v>1</v>
      </c>
      <c r="B434">
        <v>1</v>
      </c>
      <c r="C434">
        <v>1</v>
      </c>
      <c r="D434">
        <v>5</v>
      </c>
    </row>
    <row r="435" spans="1:4" x14ac:dyDescent="0.25">
      <c r="A435">
        <v>1</v>
      </c>
      <c r="B435">
        <v>2</v>
      </c>
      <c r="C435">
        <v>1</v>
      </c>
      <c r="D435">
        <v>4</v>
      </c>
    </row>
    <row r="436" spans="1:4" x14ac:dyDescent="0.25">
      <c r="A436">
        <v>2</v>
      </c>
      <c r="B436">
        <v>2</v>
      </c>
      <c r="C436">
        <v>1</v>
      </c>
      <c r="D436">
        <v>5</v>
      </c>
    </row>
    <row r="437" spans="1:4" x14ac:dyDescent="0.25">
      <c r="A437">
        <v>3</v>
      </c>
      <c r="B437">
        <v>4</v>
      </c>
      <c r="C437">
        <v>1</v>
      </c>
      <c r="D437">
        <v>3</v>
      </c>
    </row>
    <row r="438" spans="1:4" x14ac:dyDescent="0.25">
      <c r="A438">
        <v>3</v>
      </c>
      <c r="B438">
        <v>2</v>
      </c>
      <c r="C438">
        <v>1</v>
      </c>
      <c r="D438">
        <v>1</v>
      </c>
    </row>
    <row r="439" spans="1:4" x14ac:dyDescent="0.25">
      <c r="A439">
        <v>4</v>
      </c>
      <c r="B439">
        <v>3</v>
      </c>
      <c r="C439">
        <v>1</v>
      </c>
      <c r="D439">
        <v>4</v>
      </c>
    </row>
    <row r="440" spans="1:4" x14ac:dyDescent="0.25">
      <c r="A440">
        <v>5</v>
      </c>
      <c r="B440">
        <v>3</v>
      </c>
      <c r="C440">
        <v>1</v>
      </c>
      <c r="D440">
        <v>3</v>
      </c>
    </row>
    <row r="441" spans="1:4" x14ac:dyDescent="0.25">
      <c r="A441">
        <v>6</v>
      </c>
      <c r="B441">
        <v>4</v>
      </c>
      <c r="C441">
        <v>1</v>
      </c>
      <c r="D441">
        <v>4</v>
      </c>
    </row>
    <row r="442" spans="1:4" x14ac:dyDescent="0.25">
      <c r="A442">
        <v>1</v>
      </c>
      <c r="B442">
        <v>1</v>
      </c>
      <c r="C442">
        <v>2</v>
      </c>
      <c r="D442">
        <v>5</v>
      </c>
    </row>
    <row r="443" spans="1:4" x14ac:dyDescent="0.25">
      <c r="A443">
        <v>1</v>
      </c>
      <c r="B443">
        <v>2</v>
      </c>
      <c r="C443">
        <v>2</v>
      </c>
      <c r="D443">
        <v>4</v>
      </c>
    </row>
    <row r="444" spans="1:4" x14ac:dyDescent="0.25">
      <c r="A444">
        <v>2</v>
      </c>
      <c r="B444">
        <v>2</v>
      </c>
      <c r="C444">
        <v>2</v>
      </c>
      <c r="D444">
        <v>5</v>
      </c>
    </row>
    <row r="445" spans="1:4" x14ac:dyDescent="0.25">
      <c r="A445">
        <v>3</v>
      </c>
      <c r="B445">
        <v>4</v>
      </c>
      <c r="C445">
        <v>2</v>
      </c>
      <c r="D445">
        <v>3</v>
      </c>
    </row>
    <row r="446" spans="1:4" x14ac:dyDescent="0.25">
      <c r="A446">
        <v>3</v>
      </c>
      <c r="B446">
        <v>2</v>
      </c>
      <c r="C446">
        <v>2</v>
      </c>
      <c r="D446">
        <v>1</v>
      </c>
    </row>
    <row r="447" spans="1:4" x14ac:dyDescent="0.25">
      <c r="A447">
        <v>4</v>
      </c>
      <c r="B447">
        <v>3</v>
      </c>
      <c r="C447">
        <v>2</v>
      </c>
      <c r="D447">
        <v>4</v>
      </c>
    </row>
    <row r="448" spans="1:4" x14ac:dyDescent="0.25">
      <c r="A448">
        <v>5</v>
      </c>
      <c r="B448">
        <v>3</v>
      </c>
      <c r="C448">
        <v>2</v>
      </c>
      <c r="D448">
        <v>3</v>
      </c>
    </row>
    <row r="449" spans="1:4" x14ac:dyDescent="0.25">
      <c r="A449">
        <v>6</v>
      </c>
      <c r="B449">
        <v>4</v>
      </c>
      <c r="C449">
        <v>2</v>
      </c>
      <c r="D449">
        <v>4</v>
      </c>
    </row>
    <row r="450" spans="1:4" x14ac:dyDescent="0.25">
      <c r="A450">
        <v>1</v>
      </c>
      <c r="B450">
        <v>1</v>
      </c>
      <c r="C450">
        <v>3</v>
      </c>
      <c r="D450">
        <v>5</v>
      </c>
    </row>
    <row r="451" spans="1:4" x14ac:dyDescent="0.25">
      <c r="A451">
        <v>1</v>
      </c>
      <c r="B451">
        <v>2</v>
      </c>
      <c r="C451">
        <v>3</v>
      </c>
      <c r="D451">
        <v>4</v>
      </c>
    </row>
    <row r="452" spans="1:4" x14ac:dyDescent="0.25">
      <c r="A452">
        <v>2</v>
      </c>
      <c r="B452">
        <v>2</v>
      </c>
      <c r="C452">
        <v>3</v>
      </c>
      <c r="D452">
        <v>5</v>
      </c>
    </row>
    <row r="453" spans="1:4" x14ac:dyDescent="0.25">
      <c r="A453">
        <v>3</v>
      </c>
      <c r="B453">
        <v>4</v>
      </c>
      <c r="C453">
        <v>3</v>
      </c>
      <c r="D453">
        <v>3</v>
      </c>
    </row>
    <row r="454" spans="1:4" x14ac:dyDescent="0.25">
      <c r="A454">
        <v>3</v>
      </c>
      <c r="B454">
        <v>2</v>
      </c>
      <c r="C454">
        <v>3</v>
      </c>
      <c r="D454">
        <v>1</v>
      </c>
    </row>
    <row r="455" spans="1:4" x14ac:dyDescent="0.25">
      <c r="A455">
        <v>4</v>
      </c>
      <c r="B455">
        <v>3</v>
      </c>
      <c r="C455">
        <v>3</v>
      </c>
      <c r="D455">
        <v>4</v>
      </c>
    </row>
    <row r="456" spans="1:4" x14ac:dyDescent="0.25">
      <c r="A456">
        <v>5</v>
      </c>
      <c r="B456">
        <v>3</v>
      </c>
      <c r="C456">
        <v>3</v>
      </c>
      <c r="D456">
        <v>3</v>
      </c>
    </row>
    <row r="457" spans="1:4" x14ac:dyDescent="0.25">
      <c r="A457">
        <v>6</v>
      </c>
      <c r="B457">
        <v>4</v>
      </c>
      <c r="C457">
        <v>3</v>
      </c>
      <c r="D457">
        <v>4</v>
      </c>
    </row>
    <row r="458" spans="1:4" x14ac:dyDescent="0.25">
      <c r="A458">
        <v>1</v>
      </c>
      <c r="B458">
        <v>1</v>
      </c>
      <c r="C458">
        <v>4</v>
      </c>
      <c r="D458">
        <v>5</v>
      </c>
    </row>
    <row r="459" spans="1:4" x14ac:dyDescent="0.25">
      <c r="A459">
        <v>1</v>
      </c>
      <c r="B459">
        <v>2</v>
      </c>
      <c r="C459">
        <v>4</v>
      </c>
      <c r="D459">
        <v>4</v>
      </c>
    </row>
    <row r="460" spans="1:4" x14ac:dyDescent="0.25">
      <c r="A460">
        <v>2</v>
      </c>
      <c r="B460">
        <v>2</v>
      </c>
      <c r="C460">
        <v>4</v>
      </c>
      <c r="D460">
        <v>5</v>
      </c>
    </row>
    <row r="461" spans="1:4" x14ac:dyDescent="0.25">
      <c r="A461">
        <v>3</v>
      </c>
      <c r="B461">
        <v>4</v>
      </c>
      <c r="C461">
        <v>4</v>
      </c>
      <c r="D461">
        <v>3</v>
      </c>
    </row>
    <row r="462" spans="1:4" x14ac:dyDescent="0.25">
      <c r="A462">
        <v>3</v>
      </c>
      <c r="B462">
        <v>2</v>
      </c>
      <c r="C462">
        <v>4</v>
      </c>
      <c r="D462">
        <v>1</v>
      </c>
    </row>
    <row r="463" spans="1:4" x14ac:dyDescent="0.25">
      <c r="A463">
        <v>4</v>
      </c>
      <c r="B463">
        <v>3</v>
      </c>
      <c r="C463">
        <v>4</v>
      </c>
      <c r="D463">
        <v>4</v>
      </c>
    </row>
    <row r="464" spans="1:4" x14ac:dyDescent="0.25">
      <c r="A464">
        <v>5</v>
      </c>
      <c r="B464">
        <v>3</v>
      </c>
      <c r="C464">
        <v>4</v>
      </c>
      <c r="D464">
        <v>3</v>
      </c>
    </row>
    <row r="465" spans="1:4" x14ac:dyDescent="0.25">
      <c r="A465">
        <v>6</v>
      </c>
      <c r="B465">
        <v>4</v>
      </c>
      <c r="C465">
        <v>4</v>
      </c>
      <c r="D465">
        <v>4</v>
      </c>
    </row>
    <row r="467" spans="1:4" x14ac:dyDescent="0.25">
      <c r="A467" t="s">
        <v>84</v>
      </c>
    </row>
    <row r="471" spans="1:4" x14ac:dyDescent="0.25">
      <c r="A471" t="s">
        <v>85</v>
      </c>
    </row>
    <row r="474" spans="1:4" x14ac:dyDescent="0.25">
      <c r="A474" t="s">
        <v>230</v>
      </c>
    </row>
    <row r="475" spans="1:4" x14ac:dyDescent="0.25">
      <c r="A475" t="s">
        <v>231</v>
      </c>
    </row>
    <row r="476" spans="1:4" x14ac:dyDescent="0.25">
      <c r="A476">
        <v>1</v>
      </c>
      <c r="B476">
        <v>1</v>
      </c>
      <c r="C476">
        <v>16</v>
      </c>
    </row>
    <row r="477" spans="1:4" x14ac:dyDescent="0.25">
      <c r="A477">
        <v>2</v>
      </c>
      <c r="B477">
        <v>1</v>
      </c>
      <c r="C477">
        <v>80</v>
      </c>
    </row>
    <row r="478" spans="1:4" x14ac:dyDescent="0.25">
      <c r="A478">
        <v>3</v>
      </c>
      <c r="B478">
        <v>1</v>
      </c>
      <c r="C478">
        <v>72</v>
      </c>
    </row>
    <row r="479" spans="1:4" x14ac:dyDescent="0.25">
      <c r="A479">
        <v>4</v>
      </c>
      <c r="B479">
        <v>1</v>
      </c>
      <c r="C479">
        <v>80</v>
      </c>
    </row>
    <row r="480" spans="1:4" x14ac:dyDescent="0.25">
      <c r="A480">
        <v>5</v>
      </c>
      <c r="B480">
        <v>1</v>
      </c>
      <c r="C480">
        <v>20</v>
      </c>
    </row>
    <row r="481" spans="1:3" x14ac:dyDescent="0.25">
      <c r="A481">
        <v>6</v>
      </c>
      <c r="B481">
        <v>1</v>
      </c>
      <c r="C481">
        <v>72</v>
      </c>
    </row>
    <row r="482" spans="1:3" x14ac:dyDescent="0.25">
      <c r="A482">
        <v>1</v>
      </c>
      <c r="B482">
        <v>2</v>
      </c>
      <c r="C482">
        <v>32</v>
      </c>
    </row>
    <row r="483" spans="1:3" x14ac:dyDescent="0.25">
      <c r="A483">
        <v>2</v>
      </c>
      <c r="B483">
        <v>2</v>
      </c>
      <c r="C483">
        <v>160</v>
      </c>
    </row>
    <row r="484" spans="1:3" x14ac:dyDescent="0.25">
      <c r="A484">
        <v>3</v>
      </c>
      <c r="B484">
        <v>2</v>
      </c>
      <c r="C484">
        <v>160</v>
      </c>
    </row>
    <row r="485" spans="1:3" x14ac:dyDescent="0.25">
      <c r="A485">
        <v>4</v>
      </c>
      <c r="B485">
        <v>2</v>
      </c>
      <c r="C485">
        <v>160</v>
      </c>
    </row>
    <row r="486" spans="1:3" x14ac:dyDescent="0.25">
      <c r="A486">
        <v>5</v>
      </c>
      <c r="B486">
        <v>2</v>
      </c>
      <c r="C486">
        <v>40</v>
      </c>
    </row>
    <row r="487" spans="1:3" x14ac:dyDescent="0.25">
      <c r="A487">
        <v>6</v>
      </c>
      <c r="B487">
        <v>2</v>
      </c>
      <c r="C487">
        <v>168</v>
      </c>
    </row>
    <row r="488" spans="1:3" x14ac:dyDescent="0.25">
      <c r="A488">
        <v>1</v>
      </c>
      <c r="B488">
        <v>3</v>
      </c>
      <c r="C488">
        <v>48</v>
      </c>
    </row>
    <row r="489" spans="1:3" x14ac:dyDescent="0.25">
      <c r="A489">
        <v>2</v>
      </c>
      <c r="B489">
        <v>3</v>
      </c>
      <c r="C489">
        <v>240</v>
      </c>
    </row>
    <row r="490" spans="1:3" x14ac:dyDescent="0.25">
      <c r="A490">
        <v>3</v>
      </c>
      <c r="B490">
        <v>3</v>
      </c>
      <c r="C490">
        <v>232</v>
      </c>
    </row>
    <row r="491" spans="1:3" x14ac:dyDescent="0.25">
      <c r="A491">
        <v>4</v>
      </c>
      <c r="B491">
        <v>3</v>
      </c>
      <c r="C491">
        <v>240</v>
      </c>
    </row>
    <row r="492" spans="1:3" x14ac:dyDescent="0.25">
      <c r="A492">
        <v>5</v>
      </c>
      <c r="B492">
        <v>3</v>
      </c>
      <c r="C492">
        <v>60</v>
      </c>
    </row>
    <row r="493" spans="1:3" x14ac:dyDescent="0.25">
      <c r="A493">
        <v>6</v>
      </c>
      <c r="B493">
        <v>3</v>
      </c>
      <c r="C493">
        <v>240</v>
      </c>
    </row>
    <row r="494" spans="1:3" x14ac:dyDescent="0.25">
      <c r="A494">
        <v>1</v>
      </c>
      <c r="B494">
        <v>4</v>
      </c>
      <c r="C494">
        <v>64</v>
      </c>
    </row>
    <row r="495" spans="1:3" x14ac:dyDescent="0.25">
      <c r="A495">
        <v>2</v>
      </c>
      <c r="B495">
        <v>4</v>
      </c>
      <c r="C495">
        <v>320</v>
      </c>
    </row>
    <row r="496" spans="1:3" x14ac:dyDescent="0.25">
      <c r="A496">
        <v>3</v>
      </c>
      <c r="B496">
        <v>4</v>
      </c>
      <c r="C496">
        <v>320</v>
      </c>
    </row>
    <row r="497" spans="1:3" x14ac:dyDescent="0.25">
      <c r="A497">
        <v>4</v>
      </c>
      <c r="B497">
        <v>4</v>
      </c>
      <c r="C497">
        <v>320</v>
      </c>
    </row>
    <row r="498" spans="1:3" x14ac:dyDescent="0.25">
      <c r="A498">
        <v>5</v>
      </c>
      <c r="B498">
        <v>4</v>
      </c>
      <c r="C498">
        <v>80</v>
      </c>
    </row>
    <row r="499" spans="1:3" x14ac:dyDescent="0.25">
      <c r="A499">
        <v>6</v>
      </c>
      <c r="B499">
        <v>4</v>
      </c>
      <c r="C499">
        <v>336</v>
      </c>
    </row>
    <row r="500" spans="1:3" x14ac:dyDescent="0.25">
      <c r="A500" t="s">
        <v>84</v>
      </c>
    </row>
    <row r="503" spans="1:3" x14ac:dyDescent="0.25">
      <c r="A503" t="s">
        <v>85</v>
      </c>
    </row>
    <row r="504" spans="1:3" x14ac:dyDescent="0.25">
      <c r="A504" t="s">
        <v>232</v>
      </c>
    </row>
    <row r="505" spans="1:3" x14ac:dyDescent="0.25">
      <c r="A505" t="s">
        <v>233</v>
      </c>
    </row>
    <row r="506" spans="1:3" x14ac:dyDescent="0.25">
      <c r="A506">
        <v>1</v>
      </c>
      <c r="B506">
        <v>1</v>
      </c>
      <c r="C506">
        <v>64</v>
      </c>
    </row>
    <row r="507" spans="1:3" x14ac:dyDescent="0.25">
      <c r="A507">
        <v>2</v>
      </c>
      <c r="B507">
        <v>1</v>
      </c>
      <c r="C507">
        <v>80</v>
      </c>
    </row>
    <row r="508" spans="1:3" x14ac:dyDescent="0.25">
      <c r="A508">
        <v>3</v>
      </c>
      <c r="B508">
        <v>1</v>
      </c>
      <c r="C508">
        <v>88</v>
      </c>
    </row>
    <row r="509" spans="1:3" x14ac:dyDescent="0.25">
      <c r="A509">
        <v>4</v>
      </c>
      <c r="B509">
        <v>1</v>
      </c>
      <c r="C509">
        <v>80</v>
      </c>
    </row>
    <row r="510" spans="1:3" x14ac:dyDescent="0.25">
      <c r="A510">
        <v>5</v>
      </c>
      <c r="B510">
        <v>1</v>
      </c>
      <c r="C510">
        <v>60</v>
      </c>
    </row>
    <row r="511" spans="1:3" x14ac:dyDescent="0.25">
      <c r="A511">
        <v>6</v>
      </c>
      <c r="B511">
        <v>1</v>
      </c>
      <c r="C511">
        <v>96</v>
      </c>
    </row>
    <row r="512" spans="1:3" x14ac:dyDescent="0.25">
      <c r="A512">
        <v>1</v>
      </c>
      <c r="B512">
        <v>2</v>
      </c>
      <c r="C512">
        <v>128</v>
      </c>
    </row>
    <row r="513" spans="1:3" x14ac:dyDescent="0.25">
      <c r="A513">
        <v>2</v>
      </c>
      <c r="B513">
        <v>2</v>
      </c>
      <c r="C513">
        <v>160</v>
      </c>
    </row>
    <row r="514" spans="1:3" x14ac:dyDescent="0.25">
      <c r="A514">
        <v>3</v>
      </c>
      <c r="B514">
        <v>2</v>
      </c>
      <c r="C514">
        <v>160</v>
      </c>
    </row>
    <row r="515" spans="1:3" x14ac:dyDescent="0.25">
      <c r="A515">
        <v>4</v>
      </c>
      <c r="B515">
        <v>2</v>
      </c>
      <c r="C515">
        <v>160</v>
      </c>
    </row>
    <row r="516" spans="1:3" x14ac:dyDescent="0.25">
      <c r="A516">
        <v>5</v>
      </c>
      <c r="B516">
        <v>2</v>
      </c>
      <c r="C516">
        <v>120</v>
      </c>
    </row>
    <row r="517" spans="1:3" x14ac:dyDescent="0.25">
      <c r="A517">
        <v>6</v>
      </c>
      <c r="B517">
        <v>2</v>
      </c>
      <c r="C517">
        <v>168</v>
      </c>
    </row>
    <row r="518" spans="1:3" x14ac:dyDescent="0.25">
      <c r="A518">
        <v>1</v>
      </c>
      <c r="B518">
        <v>3</v>
      </c>
      <c r="C518">
        <v>192</v>
      </c>
    </row>
    <row r="519" spans="1:3" x14ac:dyDescent="0.25">
      <c r="A519">
        <v>2</v>
      </c>
      <c r="B519">
        <v>3</v>
      </c>
      <c r="C519">
        <v>240</v>
      </c>
    </row>
    <row r="520" spans="1:3" x14ac:dyDescent="0.25">
      <c r="A520">
        <v>3</v>
      </c>
      <c r="B520">
        <v>3</v>
      </c>
      <c r="C520">
        <v>248</v>
      </c>
    </row>
    <row r="521" spans="1:3" x14ac:dyDescent="0.25">
      <c r="A521">
        <v>4</v>
      </c>
      <c r="B521">
        <v>3</v>
      </c>
      <c r="C521">
        <v>240</v>
      </c>
    </row>
    <row r="522" spans="1:3" x14ac:dyDescent="0.25">
      <c r="A522">
        <v>5</v>
      </c>
      <c r="B522">
        <v>3</v>
      </c>
      <c r="C522">
        <v>180</v>
      </c>
    </row>
    <row r="523" spans="1:3" x14ac:dyDescent="0.25">
      <c r="A523">
        <v>6</v>
      </c>
      <c r="B523">
        <v>3</v>
      </c>
      <c r="C523">
        <v>240</v>
      </c>
    </row>
    <row r="524" spans="1:3" x14ac:dyDescent="0.25">
      <c r="A524">
        <v>1</v>
      </c>
      <c r="B524">
        <v>4</v>
      </c>
      <c r="C524">
        <v>256</v>
      </c>
    </row>
    <row r="525" spans="1:3" x14ac:dyDescent="0.25">
      <c r="A525">
        <v>2</v>
      </c>
      <c r="B525">
        <v>4</v>
      </c>
      <c r="C525">
        <v>320</v>
      </c>
    </row>
    <row r="526" spans="1:3" x14ac:dyDescent="0.25">
      <c r="A526">
        <v>3</v>
      </c>
      <c r="B526">
        <v>4</v>
      </c>
      <c r="C526">
        <v>320</v>
      </c>
    </row>
    <row r="527" spans="1:3" x14ac:dyDescent="0.25">
      <c r="A527">
        <v>4</v>
      </c>
      <c r="B527">
        <v>4</v>
      </c>
      <c r="C527">
        <v>320</v>
      </c>
    </row>
    <row r="528" spans="1:3" x14ac:dyDescent="0.25">
      <c r="A528">
        <v>5</v>
      </c>
      <c r="B528">
        <v>4</v>
      </c>
      <c r="C528">
        <v>240</v>
      </c>
    </row>
    <row r="529" spans="1:3" x14ac:dyDescent="0.25">
      <c r="A529">
        <v>6</v>
      </c>
      <c r="B529">
        <v>4</v>
      </c>
      <c r="C529">
        <v>336</v>
      </c>
    </row>
    <row r="531" spans="1:3" x14ac:dyDescent="0.25">
      <c r="A531" t="s">
        <v>234</v>
      </c>
    </row>
    <row r="533" spans="1:3" x14ac:dyDescent="0.25">
      <c r="A533" t="s">
        <v>235</v>
      </c>
    </row>
    <row r="534" spans="1:3" x14ac:dyDescent="0.25">
      <c r="A534" t="s">
        <v>236</v>
      </c>
    </row>
    <row r="535" spans="1:3" x14ac:dyDescent="0.25">
      <c r="A535" t="s">
        <v>237</v>
      </c>
    </row>
    <row r="536" spans="1:3" x14ac:dyDescent="0.25">
      <c r="A536" t="s">
        <v>238</v>
      </c>
    </row>
    <row r="537" spans="1:3" x14ac:dyDescent="0.25">
      <c r="A537" t="s">
        <v>239</v>
      </c>
    </row>
    <row r="538" spans="1:3" x14ac:dyDescent="0.25">
      <c r="A538" t="s">
        <v>240</v>
      </c>
    </row>
    <row r="539" spans="1:3" x14ac:dyDescent="0.25">
      <c r="A539" t="s">
        <v>241</v>
      </c>
    </row>
    <row r="540" spans="1:3" x14ac:dyDescent="0.25">
      <c r="A540" t="s">
        <v>242</v>
      </c>
    </row>
    <row r="542" spans="1:3" x14ac:dyDescent="0.25">
      <c r="A542" t="s">
        <v>243</v>
      </c>
    </row>
    <row r="543" spans="1:3" x14ac:dyDescent="0.25">
      <c r="A543" t="s">
        <v>244</v>
      </c>
    </row>
    <row r="544" spans="1:3" x14ac:dyDescent="0.25">
      <c r="A544">
        <v>1</v>
      </c>
      <c r="B544">
        <v>1</v>
      </c>
      <c r="C544">
        <v>16</v>
      </c>
    </row>
    <row r="545" spans="1:3" x14ac:dyDescent="0.25">
      <c r="A545">
        <v>2</v>
      </c>
      <c r="B545">
        <v>1</v>
      </c>
      <c r="C545">
        <v>80</v>
      </c>
    </row>
    <row r="546" spans="1:3" x14ac:dyDescent="0.25">
      <c r="A546">
        <v>3</v>
      </c>
      <c r="B546">
        <v>1</v>
      </c>
      <c r="C546">
        <v>72</v>
      </c>
    </row>
    <row r="547" spans="1:3" x14ac:dyDescent="0.25">
      <c r="A547">
        <v>4</v>
      </c>
      <c r="B547">
        <v>1</v>
      </c>
      <c r="C547">
        <v>80</v>
      </c>
    </row>
    <row r="548" spans="1:3" x14ac:dyDescent="0.25">
      <c r="A548">
        <v>5</v>
      </c>
      <c r="B548">
        <v>1</v>
      </c>
      <c r="C548">
        <v>20</v>
      </c>
    </row>
    <row r="549" spans="1:3" x14ac:dyDescent="0.25">
      <c r="A549">
        <v>6</v>
      </c>
      <c r="B549">
        <v>1</v>
      </c>
      <c r="C549">
        <v>72</v>
      </c>
    </row>
    <row r="550" spans="1:3" x14ac:dyDescent="0.25">
      <c r="A550">
        <v>1</v>
      </c>
      <c r="B550">
        <v>2</v>
      </c>
      <c r="C550">
        <v>16</v>
      </c>
    </row>
    <row r="551" spans="1:3" x14ac:dyDescent="0.25">
      <c r="A551">
        <v>2</v>
      </c>
      <c r="B551">
        <v>2</v>
      </c>
      <c r="C551">
        <v>80</v>
      </c>
    </row>
    <row r="552" spans="1:3" x14ac:dyDescent="0.25">
      <c r="A552">
        <v>3</v>
      </c>
      <c r="B552">
        <v>2</v>
      </c>
      <c r="C552">
        <v>72</v>
      </c>
    </row>
    <row r="553" spans="1:3" x14ac:dyDescent="0.25">
      <c r="A553">
        <v>4</v>
      </c>
      <c r="B553">
        <v>2</v>
      </c>
      <c r="C553">
        <v>80</v>
      </c>
    </row>
    <row r="554" spans="1:3" x14ac:dyDescent="0.25">
      <c r="A554">
        <v>5</v>
      </c>
      <c r="B554">
        <v>2</v>
      </c>
      <c r="C554">
        <v>20</v>
      </c>
    </row>
    <row r="555" spans="1:3" x14ac:dyDescent="0.25">
      <c r="A555">
        <v>6</v>
      </c>
      <c r="B555">
        <v>2</v>
      </c>
      <c r="C555">
        <v>72</v>
      </c>
    </row>
    <row r="556" spans="1:3" x14ac:dyDescent="0.25">
      <c r="A556">
        <v>1</v>
      </c>
      <c r="B556">
        <v>3</v>
      </c>
      <c r="C556">
        <v>16</v>
      </c>
    </row>
    <row r="557" spans="1:3" x14ac:dyDescent="0.25">
      <c r="A557">
        <v>2</v>
      </c>
      <c r="B557">
        <v>3</v>
      </c>
      <c r="C557">
        <v>80</v>
      </c>
    </row>
    <row r="558" spans="1:3" x14ac:dyDescent="0.25">
      <c r="A558">
        <v>3</v>
      </c>
      <c r="B558">
        <v>3</v>
      </c>
      <c r="C558">
        <v>72</v>
      </c>
    </row>
    <row r="559" spans="1:3" x14ac:dyDescent="0.25">
      <c r="A559">
        <v>4</v>
      </c>
      <c r="B559">
        <v>3</v>
      </c>
      <c r="C559">
        <v>80</v>
      </c>
    </row>
    <row r="560" spans="1:3" x14ac:dyDescent="0.25">
      <c r="A560">
        <v>5</v>
      </c>
      <c r="B560">
        <v>3</v>
      </c>
      <c r="C560">
        <v>20</v>
      </c>
    </row>
    <row r="561" spans="1:3" x14ac:dyDescent="0.25">
      <c r="A561">
        <v>6</v>
      </c>
      <c r="B561">
        <v>3</v>
      </c>
      <c r="C561">
        <v>72</v>
      </c>
    </row>
    <row r="562" spans="1:3" x14ac:dyDescent="0.25">
      <c r="A562">
        <v>1</v>
      </c>
      <c r="B562">
        <v>4</v>
      </c>
      <c r="C562">
        <v>16</v>
      </c>
    </row>
    <row r="563" spans="1:3" x14ac:dyDescent="0.25">
      <c r="A563">
        <v>2</v>
      </c>
      <c r="B563">
        <v>4</v>
      </c>
      <c r="C563">
        <v>80</v>
      </c>
    </row>
    <row r="564" spans="1:3" x14ac:dyDescent="0.25">
      <c r="A564">
        <v>3</v>
      </c>
      <c r="B564">
        <v>4</v>
      </c>
      <c r="C564">
        <v>72</v>
      </c>
    </row>
    <row r="565" spans="1:3" x14ac:dyDescent="0.25">
      <c r="A565">
        <v>4</v>
      </c>
      <c r="B565">
        <v>4</v>
      </c>
      <c r="C565">
        <v>80</v>
      </c>
    </row>
    <row r="566" spans="1:3" x14ac:dyDescent="0.25">
      <c r="A566">
        <v>5</v>
      </c>
      <c r="B566">
        <v>4</v>
      </c>
      <c r="C566">
        <v>20</v>
      </c>
    </row>
    <row r="567" spans="1:3" x14ac:dyDescent="0.25">
      <c r="A567">
        <v>6</v>
      </c>
      <c r="B567">
        <v>4</v>
      </c>
      <c r="C567">
        <v>72</v>
      </c>
    </row>
    <row r="569" spans="1:3" x14ac:dyDescent="0.25">
      <c r="A569" t="s">
        <v>245</v>
      </c>
    </row>
    <row r="570" spans="1:3" x14ac:dyDescent="0.25">
      <c r="A570" t="s">
        <v>85</v>
      </c>
    </row>
    <row r="571" spans="1:3" x14ac:dyDescent="0.25">
      <c r="A571" t="s">
        <v>246</v>
      </c>
    </row>
    <row r="572" spans="1:3" x14ac:dyDescent="0.25">
      <c r="A572" t="s">
        <v>247</v>
      </c>
    </row>
    <row r="573" spans="1:3" x14ac:dyDescent="0.25">
      <c r="A573">
        <v>1</v>
      </c>
      <c r="B573">
        <v>1</v>
      </c>
      <c r="C573">
        <v>64</v>
      </c>
    </row>
    <row r="574" spans="1:3" x14ac:dyDescent="0.25">
      <c r="A574">
        <v>2</v>
      </c>
      <c r="B574">
        <v>1</v>
      </c>
      <c r="C574">
        <v>80</v>
      </c>
    </row>
    <row r="575" spans="1:3" x14ac:dyDescent="0.25">
      <c r="A575">
        <v>3</v>
      </c>
      <c r="B575">
        <v>1</v>
      </c>
      <c r="C575">
        <v>88</v>
      </c>
    </row>
    <row r="576" spans="1:3" x14ac:dyDescent="0.25">
      <c r="A576">
        <v>4</v>
      </c>
      <c r="B576">
        <v>1</v>
      </c>
      <c r="C576">
        <v>80</v>
      </c>
    </row>
    <row r="577" spans="1:3" x14ac:dyDescent="0.25">
      <c r="A577">
        <v>5</v>
      </c>
      <c r="B577">
        <v>1</v>
      </c>
      <c r="C577">
        <v>60</v>
      </c>
    </row>
    <row r="578" spans="1:3" x14ac:dyDescent="0.25">
      <c r="A578">
        <v>6</v>
      </c>
      <c r="B578">
        <v>1</v>
      </c>
      <c r="C578">
        <v>96</v>
      </c>
    </row>
    <row r="579" spans="1:3" x14ac:dyDescent="0.25">
      <c r="A579">
        <v>1</v>
      </c>
      <c r="B579">
        <v>2</v>
      </c>
      <c r="C579">
        <v>64</v>
      </c>
    </row>
    <row r="580" spans="1:3" x14ac:dyDescent="0.25">
      <c r="A580">
        <v>2</v>
      </c>
      <c r="B580">
        <v>2</v>
      </c>
      <c r="C580">
        <v>80</v>
      </c>
    </row>
    <row r="581" spans="1:3" x14ac:dyDescent="0.25">
      <c r="A581">
        <v>3</v>
      </c>
      <c r="B581">
        <v>2</v>
      </c>
      <c r="C581">
        <v>88</v>
      </c>
    </row>
    <row r="582" spans="1:3" x14ac:dyDescent="0.25">
      <c r="A582">
        <v>4</v>
      </c>
      <c r="B582">
        <v>2</v>
      </c>
      <c r="C582">
        <v>80</v>
      </c>
    </row>
    <row r="583" spans="1:3" x14ac:dyDescent="0.25">
      <c r="A583">
        <v>5</v>
      </c>
      <c r="B583">
        <v>2</v>
      </c>
      <c r="C583">
        <v>60</v>
      </c>
    </row>
    <row r="584" spans="1:3" x14ac:dyDescent="0.25">
      <c r="A584">
        <v>6</v>
      </c>
      <c r="B584">
        <v>2</v>
      </c>
      <c r="C584">
        <v>96</v>
      </c>
    </row>
    <row r="585" spans="1:3" x14ac:dyDescent="0.25">
      <c r="A585">
        <v>1</v>
      </c>
      <c r="B585">
        <v>3</v>
      </c>
      <c r="C585">
        <v>64</v>
      </c>
    </row>
    <row r="586" spans="1:3" x14ac:dyDescent="0.25">
      <c r="A586">
        <v>2</v>
      </c>
      <c r="B586">
        <v>3</v>
      </c>
      <c r="C586">
        <v>80</v>
      </c>
    </row>
    <row r="587" spans="1:3" x14ac:dyDescent="0.25">
      <c r="A587">
        <v>3</v>
      </c>
      <c r="B587">
        <v>3</v>
      </c>
      <c r="C587">
        <v>88</v>
      </c>
    </row>
    <row r="588" spans="1:3" x14ac:dyDescent="0.25">
      <c r="A588">
        <v>4</v>
      </c>
      <c r="B588">
        <v>3</v>
      </c>
      <c r="C588">
        <v>80</v>
      </c>
    </row>
    <row r="589" spans="1:3" x14ac:dyDescent="0.25">
      <c r="A589">
        <v>5</v>
      </c>
      <c r="B589">
        <v>3</v>
      </c>
      <c r="C589">
        <v>60</v>
      </c>
    </row>
    <row r="590" spans="1:3" x14ac:dyDescent="0.25">
      <c r="A590">
        <v>6</v>
      </c>
      <c r="B590">
        <v>3</v>
      </c>
      <c r="C590">
        <v>96</v>
      </c>
    </row>
    <row r="591" spans="1:3" x14ac:dyDescent="0.25">
      <c r="A591">
        <v>1</v>
      </c>
      <c r="B591">
        <v>4</v>
      </c>
      <c r="C591">
        <v>64</v>
      </c>
    </row>
    <row r="592" spans="1:3" x14ac:dyDescent="0.25">
      <c r="A592">
        <v>2</v>
      </c>
      <c r="B592">
        <v>4</v>
      </c>
      <c r="C592">
        <v>80</v>
      </c>
    </row>
    <row r="593" spans="1:3" x14ac:dyDescent="0.25">
      <c r="A593">
        <v>3</v>
      </c>
      <c r="B593">
        <v>4</v>
      </c>
      <c r="C593">
        <v>88</v>
      </c>
    </row>
    <row r="594" spans="1:3" x14ac:dyDescent="0.25">
      <c r="A594">
        <v>4</v>
      </c>
      <c r="B594">
        <v>4</v>
      </c>
      <c r="C594">
        <v>80</v>
      </c>
    </row>
    <row r="595" spans="1:3" x14ac:dyDescent="0.25">
      <c r="A595">
        <v>5</v>
      </c>
      <c r="B595">
        <v>4</v>
      </c>
      <c r="C595">
        <v>60</v>
      </c>
    </row>
    <row r="596" spans="1:3" x14ac:dyDescent="0.25">
      <c r="A596">
        <v>6</v>
      </c>
      <c r="B596">
        <v>4</v>
      </c>
      <c r="C596">
        <v>96</v>
      </c>
    </row>
    <row r="598" spans="1:3" x14ac:dyDescent="0.25">
      <c r="A598" t="s">
        <v>234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9"/>
  <sheetViews>
    <sheetView workbookViewId="0">
      <selection activeCell="J27" sqref="J27"/>
    </sheetView>
  </sheetViews>
  <sheetFormatPr defaultRowHeight="15" x14ac:dyDescent="0.25"/>
  <sheetData>
    <row r="1" spans="2:29" x14ac:dyDescent="0.25">
      <c r="B1" t="s">
        <v>0</v>
      </c>
      <c r="C1" t="s">
        <v>4</v>
      </c>
      <c r="D1" t="s">
        <v>4</v>
      </c>
      <c r="E1" t="s">
        <v>5</v>
      </c>
      <c r="F1" t="s">
        <v>5</v>
      </c>
      <c r="G1" t="s">
        <v>5</v>
      </c>
      <c r="H1" t="s">
        <v>4</v>
      </c>
      <c r="I1" t="s">
        <v>4</v>
      </c>
      <c r="J1" t="s">
        <v>5</v>
      </c>
      <c r="K1" t="s">
        <v>5</v>
      </c>
      <c r="L1" t="s">
        <v>5</v>
      </c>
      <c r="M1" t="s">
        <v>4</v>
      </c>
      <c r="N1" t="s">
        <v>4</v>
      </c>
      <c r="O1" t="s">
        <v>4</v>
      </c>
      <c r="P1" t="s">
        <v>5</v>
      </c>
      <c r="Q1" t="s">
        <v>4</v>
      </c>
      <c r="R1" t="s">
        <v>4</v>
      </c>
      <c r="S1" t="s">
        <v>5</v>
      </c>
      <c r="T1" t="s">
        <v>5</v>
      </c>
      <c r="U1" t="s">
        <v>5</v>
      </c>
      <c r="V1" t="s">
        <v>4</v>
      </c>
      <c r="W1" t="s">
        <v>4</v>
      </c>
      <c r="X1" t="s">
        <v>4</v>
      </c>
      <c r="Y1" t="s">
        <v>4</v>
      </c>
      <c r="Z1" t="s">
        <v>5</v>
      </c>
      <c r="AA1" t="s">
        <v>5</v>
      </c>
      <c r="AB1" t="s">
        <v>5</v>
      </c>
      <c r="AC1" t="s">
        <v>6</v>
      </c>
    </row>
    <row r="2" spans="2:29" x14ac:dyDescent="0.25">
      <c r="B2" t="s">
        <v>1</v>
      </c>
      <c r="C2" t="s">
        <v>4</v>
      </c>
      <c r="D2" t="s">
        <v>4</v>
      </c>
      <c r="E2" t="s">
        <v>4</v>
      </c>
      <c r="F2" t="s">
        <v>5</v>
      </c>
      <c r="G2" t="s">
        <v>5</v>
      </c>
      <c r="H2" t="s">
        <v>4</v>
      </c>
      <c r="I2" t="s">
        <v>4</v>
      </c>
      <c r="J2" t="s">
        <v>4</v>
      </c>
      <c r="K2" t="s">
        <v>4</v>
      </c>
      <c r="L2" t="s">
        <v>5</v>
      </c>
      <c r="M2" t="s">
        <v>5</v>
      </c>
      <c r="N2" t="s">
        <v>5</v>
      </c>
      <c r="O2" t="s">
        <v>5</v>
      </c>
      <c r="P2" t="s">
        <v>5</v>
      </c>
      <c r="Q2" t="s">
        <v>4</v>
      </c>
      <c r="R2" t="s">
        <v>4</v>
      </c>
      <c r="S2" t="s">
        <v>5</v>
      </c>
      <c r="T2" t="s">
        <v>5</v>
      </c>
      <c r="U2" t="s">
        <v>5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5</v>
      </c>
      <c r="AB2" t="s">
        <v>5</v>
      </c>
      <c r="AC2" t="s">
        <v>6</v>
      </c>
    </row>
    <row r="3" spans="2:29" x14ac:dyDescent="0.25">
      <c r="B3" t="s">
        <v>0</v>
      </c>
      <c r="C3" t="s">
        <v>4</v>
      </c>
      <c r="D3" t="s">
        <v>5</v>
      </c>
      <c r="E3" t="s">
        <v>4</v>
      </c>
      <c r="F3" t="s">
        <v>5</v>
      </c>
      <c r="G3" t="s">
        <v>5</v>
      </c>
      <c r="H3" t="s">
        <v>5</v>
      </c>
      <c r="I3" t="s">
        <v>5</v>
      </c>
      <c r="J3" t="s">
        <v>4</v>
      </c>
      <c r="K3" t="s">
        <v>4</v>
      </c>
      <c r="L3" t="s">
        <v>4</v>
      </c>
      <c r="M3" t="s">
        <v>5</v>
      </c>
      <c r="N3" t="s">
        <v>5</v>
      </c>
      <c r="O3" t="s">
        <v>4</v>
      </c>
      <c r="P3" t="s">
        <v>4</v>
      </c>
      <c r="Q3" t="s">
        <v>4</v>
      </c>
      <c r="R3" t="s">
        <v>5</v>
      </c>
      <c r="S3" t="s">
        <v>4</v>
      </c>
      <c r="T3" t="s">
        <v>5</v>
      </c>
      <c r="U3" t="s">
        <v>5</v>
      </c>
      <c r="V3" t="s">
        <v>5</v>
      </c>
      <c r="W3" t="s">
        <v>4</v>
      </c>
      <c r="X3" t="s">
        <v>4</v>
      </c>
      <c r="Y3" t="s">
        <v>5</v>
      </c>
      <c r="Z3" t="s">
        <v>5</v>
      </c>
      <c r="AA3" t="s">
        <v>5</v>
      </c>
      <c r="AB3" t="s">
        <v>4</v>
      </c>
      <c r="AC3" t="s">
        <v>7</v>
      </c>
    </row>
    <row r="4" spans="2:29" x14ac:dyDescent="0.25">
      <c r="B4" t="s">
        <v>0</v>
      </c>
      <c r="C4" t="s">
        <v>4</v>
      </c>
      <c r="D4" t="s">
        <v>4</v>
      </c>
      <c r="E4" t="s">
        <v>4</v>
      </c>
      <c r="F4" t="s">
        <v>5</v>
      </c>
      <c r="G4" t="s">
        <v>5</v>
      </c>
      <c r="H4" t="s">
        <v>5</v>
      </c>
      <c r="I4" t="s">
        <v>5</v>
      </c>
      <c r="J4" t="s">
        <v>4</v>
      </c>
      <c r="K4" t="s">
        <v>4</v>
      </c>
      <c r="L4" t="s">
        <v>5</v>
      </c>
      <c r="M4" t="s">
        <v>5</v>
      </c>
      <c r="N4" t="s">
        <v>5</v>
      </c>
      <c r="O4" t="s">
        <v>4</v>
      </c>
      <c r="P4" t="s">
        <v>4</v>
      </c>
      <c r="Q4" t="s">
        <v>4</v>
      </c>
      <c r="R4" t="s">
        <v>5</v>
      </c>
      <c r="S4" t="s">
        <v>5</v>
      </c>
      <c r="T4" t="s">
        <v>4</v>
      </c>
      <c r="U4" t="s">
        <v>5</v>
      </c>
      <c r="V4" t="s">
        <v>5</v>
      </c>
      <c r="W4" t="s">
        <v>5</v>
      </c>
      <c r="X4" t="s">
        <v>4</v>
      </c>
      <c r="Y4" t="s">
        <v>4</v>
      </c>
      <c r="Z4" t="s">
        <v>4</v>
      </c>
      <c r="AA4" t="s">
        <v>5</v>
      </c>
      <c r="AB4" t="s">
        <v>5</v>
      </c>
      <c r="AC4" t="s">
        <v>7</v>
      </c>
    </row>
    <row r="5" spans="2:29" x14ac:dyDescent="0.25">
      <c r="B5" t="s">
        <v>1</v>
      </c>
      <c r="C5" t="s">
        <v>4</v>
      </c>
      <c r="D5" t="s">
        <v>4</v>
      </c>
      <c r="E5" t="s">
        <v>5</v>
      </c>
      <c r="F5" t="s">
        <v>5</v>
      </c>
      <c r="G5" t="s">
        <v>5</v>
      </c>
      <c r="H5" t="s">
        <v>4</v>
      </c>
      <c r="I5" t="s">
        <v>4</v>
      </c>
      <c r="J5" t="s">
        <v>4</v>
      </c>
      <c r="K5" t="s">
        <v>4</v>
      </c>
      <c r="L5" t="s">
        <v>5</v>
      </c>
      <c r="M5" t="s">
        <v>5</v>
      </c>
      <c r="N5" t="s">
        <v>4</v>
      </c>
      <c r="O5" t="s">
        <v>5</v>
      </c>
      <c r="P5" t="s">
        <v>5</v>
      </c>
      <c r="Q5" t="s">
        <v>4</v>
      </c>
      <c r="R5" t="s">
        <v>5</v>
      </c>
      <c r="S5" t="s">
        <v>5</v>
      </c>
      <c r="T5" t="s">
        <v>4</v>
      </c>
      <c r="U5" t="s">
        <v>5</v>
      </c>
      <c r="V5" t="s">
        <v>4</v>
      </c>
      <c r="W5" t="s">
        <v>4</v>
      </c>
      <c r="X5" t="s">
        <v>4</v>
      </c>
      <c r="Y5" t="s">
        <v>5</v>
      </c>
      <c r="Z5" t="s">
        <v>4</v>
      </c>
      <c r="AA5" t="s">
        <v>5</v>
      </c>
      <c r="AB5" t="s">
        <v>5</v>
      </c>
      <c r="AC5" t="s">
        <v>7</v>
      </c>
    </row>
    <row r="6" spans="2:29" x14ac:dyDescent="0.25">
      <c r="B6" t="s">
        <v>0</v>
      </c>
      <c r="C6" t="s">
        <v>4</v>
      </c>
      <c r="D6" t="s">
        <v>5</v>
      </c>
      <c r="E6" t="s">
        <v>4</v>
      </c>
      <c r="F6" t="s">
        <v>5</v>
      </c>
      <c r="G6" t="s">
        <v>5</v>
      </c>
      <c r="H6" t="s">
        <v>4</v>
      </c>
      <c r="I6" t="s">
        <v>4</v>
      </c>
      <c r="J6" t="s">
        <v>4</v>
      </c>
      <c r="K6" t="s">
        <v>5</v>
      </c>
      <c r="L6" t="s">
        <v>5</v>
      </c>
      <c r="M6" t="s">
        <v>5</v>
      </c>
      <c r="N6" t="s">
        <v>5</v>
      </c>
      <c r="O6" t="s">
        <v>4</v>
      </c>
      <c r="P6" t="s">
        <v>4</v>
      </c>
      <c r="Q6" t="s">
        <v>5</v>
      </c>
      <c r="R6" t="s">
        <v>5</v>
      </c>
      <c r="S6" t="s">
        <v>4</v>
      </c>
      <c r="T6" t="s">
        <v>4</v>
      </c>
      <c r="U6" t="s">
        <v>4</v>
      </c>
      <c r="V6" t="s">
        <v>5</v>
      </c>
      <c r="W6" t="s">
        <v>5</v>
      </c>
      <c r="X6" t="s">
        <v>5</v>
      </c>
      <c r="Y6" t="s">
        <v>5</v>
      </c>
      <c r="Z6" t="s">
        <v>4</v>
      </c>
      <c r="AA6" t="s">
        <v>5</v>
      </c>
      <c r="AB6" t="s">
        <v>4</v>
      </c>
      <c r="AC6" t="s">
        <v>7</v>
      </c>
    </row>
    <row r="7" spans="2:29" x14ac:dyDescent="0.25">
      <c r="B7" t="s">
        <v>1</v>
      </c>
      <c r="C7" t="s">
        <v>5</v>
      </c>
      <c r="D7" t="s">
        <v>5</v>
      </c>
      <c r="E7" t="s">
        <v>4</v>
      </c>
      <c r="F7" t="s">
        <v>4</v>
      </c>
      <c r="G7" t="s">
        <v>5</v>
      </c>
      <c r="H7" t="s">
        <v>4</v>
      </c>
      <c r="I7" t="s">
        <v>4</v>
      </c>
      <c r="J7" t="s">
        <v>5</v>
      </c>
      <c r="K7" t="s">
        <v>4</v>
      </c>
      <c r="L7" t="s">
        <v>4</v>
      </c>
      <c r="M7" t="s">
        <v>5</v>
      </c>
      <c r="N7" t="s">
        <v>5</v>
      </c>
      <c r="O7" t="s">
        <v>5</v>
      </c>
      <c r="P7" t="s">
        <v>5</v>
      </c>
      <c r="Q7" t="s">
        <v>4</v>
      </c>
      <c r="R7" t="s">
        <v>4</v>
      </c>
      <c r="S7" t="s">
        <v>5</v>
      </c>
      <c r="T7" t="s">
        <v>4</v>
      </c>
      <c r="U7" t="s">
        <v>5</v>
      </c>
      <c r="V7" t="s">
        <v>4</v>
      </c>
      <c r="W7" t="s">
        <v>4</v>
      </c>
      <c r="X7" t="s">
        <v>5</v>
      </c>
      <c r="Y7" t="s">
        <v>4</v>
      </c>
      <c r="Z7" t="s">
        <v>4</v>
      </c>
      <c r="AA7" t="s">
        <v>4</v>
      </c>
      <c r="AB7" t="s">
        <v>5</v>
      </c>
      <c r="AC7" t="s">
        <v>6</v>
      </c>
    </row>
    <row r="8" spans="2:29" x14ac:dyDescent="0.25">
      <c r="B8" t="s">
        <v>1</v>
      </c>
      <c r="C8" t="s">
        <v>5</v>
      </c>
      <c r="D8" t="s">
        <v>4</v>
      </c>
      <c r="E8" t="s">
        <v>4</v>
      </c>
      <c r="F8" t="s">
        <v>4</v>
      </c>
      <c r="G8" t="s">
        <v>5</v>
      </c>
      <c r="H8" t="s">
        <v>5</v>
      </c>
      <c r="I8" t="s">
        <v>5</v>
      </c>
      <c r="J8" t="s">
        <v>4</v>
      </c>
      <c r="K8" t="s">
        <v>4</v>
      </c>
      <c r="L8" t="s">
        <v>4</v>
      </c>
      <c r="M8" t="s">
        <v>4</v>
      </c>
      <c r="N8" t="s">
        <v>5</v>
      </c>
      <c r="O8" t="s">
        <v>5</v>
      </c>
      <c r="P8" t="s">
        <v>5</v>
      </c>
      <c r="Q8" t="s">
        <v>4</v>
      </c>
      <c r="R8" t="s">
        <v>4</v>
      </c>
      <c r="S8" t="s">
        <v>4</v>
      </c>
      <c r="T8" t="s">
        <v>4</v>
      </c>
      <c r="U8" t="s">
        <v>5</v>
      </c>
      <c r="V8" t="s">
        <v>5</v>
      </c>
      <c r="W8" t="s">
        <v>5</v>
      </c>
      <c r="X8" t="s">
        <v>4</v>
      </c>
      <c r="Y8" t="s">
        <v>4</v>
      </c>
      <c r="Z8" t="s">
        <v>4</v>
      </c>
      <c r="AA8" t="s">
        <v>5</v>
      </c>
      <c r="AB8" t="s">
        <v>5</v>
      </c>
      <c r="AC8" t="s">
        <v>6</v>
      </c>
    </row>
    <row r="9" spans="2:29" x14ac:dyDescent="0.25">
      <c r="B9" t="s">
        <v>0</v>
      </c>
      <c r="C9" t="s">
        <v>4</v>
      </c>
      <c r="D9" t="s">
        <v>5</v>
      </c>
      <c r="E9" t="s">
        <v>4</v>
      </c>
      <c r="F9" t="s">
        <v>5</v>
      </c>
      <c r="G9" t="s">
        <v>5</v>
      </c>
      <c r="H9" t="s">
        <v>5</v>
      </c>
      <c r="I9" t="s">
        <v>5</v>
      </c>
      <c r="J9" t="s">
        <v>4</v>
      </c>
      <c r="K9" t="s">
        <v>4</v>
      </c>
      <c r="L9" t="s">
        <v>4</v>
      </c>
      <c r="M9" t="s">
        <v>5</v>
      </c>
      <c r="N9" t="s">
        <v>5</v>
      </c>
      <c r="O9" t="s">
        <v>4</v>
      </c>
      <c r="P9" t="s">
        <v>4</v>
      </c>
      <c r="Q9" t="s">
        <v>5</v>
      </c>
      <c r="R9" t="s">
        <v>4</v>
      </c>
      <c r="S9" t="s">
        <v>5</v>
      </c>
      <c r="T9" t="s">
        <v>4</v>
      </c>
      <c r="U9" t="s">
        <v>5</v>
      </c>
      <c r="V9" t="s">
        <v>5</v>
      </c>
      <c r="W9" t="s">
        <v>5</v>
      </c>
      <c r="X9" t="s">
        <v>4</v>
      </c>
      <c r="Y9" t="s">
        <v>4</v>
      </c>
      <c r="Z9" t="s">
        <v>4</v>
      </c>
      <c r="AA9" t="s">
        <v>5</v>
      </c>
      <c r="AB9" t="s">
        <v>5</v>
      </c>
      <c r="AC9" t="s">
        <v>7</v>
      </c>
    </row>
    <row r="10" spans="2:29" x14ac:dyDescent="0.25">
      <c r="B10" t="s">
        <v>1</v>
      </c>
      <c r="C10" t="s">
        <v>4</v>
      </c>
      <c r="D10" t="s">
        <v>4</v>
      </c>
      <c r="E10" t="s">
        <v>5</v>
      </c>
      <c r="F10" t="s">
        <v>5</v>
      </c>
      <c r="G10" t="s">
        <v>4</v>
      </c>
      <c r="H10" t="s">
        <v>5</v>
      </c>
      <c r="I10" t="s">
        <v>5</v>
      </c>
      <c r="J10" t="s">
        <v>4</v>
      </c>
      <c r="K10" t="s">
        <v>4</v>
      </c>
      <c r="L10" t="s">
        <v>5</v>
      </c>
      <c r="M10" t="s">
        <v>4</v>
      </c>
      <c r="N10" t="s">
        <v>4</v>
      </c>
      <c r="O10" t="s">
        <v>5</v>
      </c>
      <c r="P10" t="s">
        <v>5</v>
      </c>
      <c r="Q10" t="s">
        <v>4</v>
      </c>
      <c r="R10" t="s">
        <v>5</v>
      </c>
      <c r="S10" t="s">
        <v>5</v>
      </c>
      <c r="T10" t="s">
        <v>4</v>
      </c>
      <c r="U10" t="s">
        <v>4</v>
      </c>
      <c r="V10" t="s">
        <v>5</v>
      </c>
      <c r="W10" t="s">
        <v>5</v>
      </c>
      <c r="X10" t="s">
        <v>5</v>
      </c>
      <c r="Y10" t="s">
        <v>4</v>
      </c>
      <c r="Z10" t="s">
        <v>4</v>
      </c>
      <c r="AA10" t="s">
        <v>4</v>
      </c>
      <c r="AB10" t="s">
        <v>4</v>
      </c>
      <c r="AC10" t="s">
        <v>6</v>
      </c>
    </row>
    <row r="11" spans="2:29" x14ac:dyDescent="0.25">
      <c r="B11" t="s">
        <v>2</v>
      </c>
      <c r="C11" t="s">
        <v>8</v>
      </c>
      <c r="D11" t="s">
        <v>8</v>
      </c>
      <c r="E11" t="s">
        <v>5</v>
      </c>
      <c r="F11" t="s">
        <v>5</v>
      </c>
      <c r="G11" t="s">
        <v>5</v>
      </c>
      <c r="H11" t="s">
        <v>5</v>
      </c>
      <c r="I11" t="s">
        <v>5</v>
      </c>
      <c r="J11" t="s">
        <v>8</v>
      </c>
      <c r="K11" t="s">
        <v>8</v>
      </c>
      <c r="L11" t="s">
        <v>5</v>
      </c>
      <c r="M11" t="s">
        <v>5</v>
      </c>
      <c r="N11" t="s">
        <v>5</v>
      </c>
      <c r="O11" t="s">
        <v>8</v>
      </c>
      <c r="P11" t="s">
        <v>8</v>
      </c>
      <c r="Q11" t="s">
        <v>8</v>
      </c>
      <c r="R11" t="s">
        <v>8</v>
      </c>
      <c r="S11" t="s">
        <v>5</v>
      </c>
      <c r="T11" t="s">
        <v>5</v>
      </c>
      <c r="U11" t="s">
        <v>5</v>
      </c>
      <c r="V11" t="s">
        <v>8</v>
      </c>
      <c r="W11" t="s">
        <v>8</v>
      </c>
      <c r="X11" t="s">
        <v>8</v>
      </c>
      <c r="Y11" t="s">
        <v>5</v>
      </c>
      <c r="Z11" t="s">
        <v>8</v>
      </c>
      <c r="AA11" t="s">
        <v>5</v>
      </c>
      <c r="AB11" t="s">
        <v>5</v>
      </c>
      <c r="AC11" t="s">
        <v>9</v>
      </c>
    </row>
    <row r="12" spans="2:29" x14ac:dyDescent="0.25">
      <c r="B12" t="s">
        <v>1</v>
      </c>
      <c r="C12" t="s">
        <v>8</v>
      </c>
      <c r="D12" t="s">
        <v>8</v>
      </c>
      <c r="E12" t="s">
        <v>5</v>
      </c>
      <c r="F12" t="s">
        <v>5</v>
      </c>
      <c r="G12" t="s">
        <v>5</v>
      </c>
      <c r="H12" t="s">
        <v>8</v>
      </c>
      <c r="I12" t="s">
        <v>8</v>
      </c>
      <c r="J12" t="s">
        <v>8</v>
      </c>
      <c r="K12" t="s">
        <v>5</v>
      </c>
      <c r="L12" t="s">
        <v>5</v>
      </c>
      <c r="M12" t="s">
        <v>5</v>
      </c>
      <c r="N12" t="s">
        <v>5</v>
      </c>
      <c r="O12" t="s">
        <v>8</v>
      </c>
      <c r="P12" t="s">
        <v>5</v>
      </c>
      <c r="Q12" t="s">
        <v>8</v>
      </c>
      <c r="R12" t="s">
        <v>8</v>
      </c>
      <c r="S12" t="s">
        <v>8</v>
      </c>
      <c r="T12" t="s">
        <v>5</v>
      </c>
      <c r="U12" t="s">
        <v>5</v>
      </c>
      <c r="V12" t="s">
        <v>8</v>
      </c>
      <c r="W12" t="s">
        <v>8</v>
      </c>
      <c r="X12" t="s">
        <v>8</v>
      </c>
      <c r="Y12" t="s">
        <v>5</v>
      </c>
      <c r="Z12" t="s">
        <v>5</v>
      </c>
      <c r="AA12" t="s">
        <v>5</v>
      </c>
      <c r="AB12" t="s">
        <v>8</v>
      </c>
      <c r="AC12" t="s">
        <v>9</v>
      </c>
    </row>
    <row r="13" spans="2:29" x14ac:dyDescent="0.25">
      <c r="B13" t="s">
        <v>1</v>
      </c>
      <c r="C13" t="s">
        <v>8</v>
      </c>
      <c r="D13" t="s">
        <v>5</v>
      </c>
      <c r="E13" t="s">
        <v>5</v>
      </c>
      <c r="F13" t="s">
        <v>5</v>
      </c>
      <c r="G13" t="s">
        <v>8</v>
      </c>
      <c r="H13" t="s">
        <v>8</v>
      </c>
      <c r="I13" t="s">
        <v>8</v>
      </c>
      <c r="J13" t="s">
        <v>8</v>
      </c>
      <c r="K13" t="s">
        <v>5</v>
      </c>
      <c r="L13" t="s">
        <v>5</v>
      </c>
      <c r="M13" t="s">
        <v>5</v>
      </c>
      <c r="N13" t="s">
        <v>8</v>
      </c>
      <c r="O13" t="s">
        <v>8</v>
      </c>
      <c r="P13" t="s">
        <v>8</v>
      </c>
      <c r="Q13" t="s">
        <v>5</v>
      </c>
      <c r="R13" t="s">
        <v>8</v>
      </c>
      <c r="S13" t="s">
        <v>5</v>
      </c>
      <c r="T13" t="s">
        <v>5</v>
      </c>
      <c r="U13" t="s">
        <v>8</v>
      </c>
      <c r="V13" t="s">
        <v>8</v>
      </c>
      <c r="W13" t="s">
        <v>8</v>
      </c>
      <c r="X13" t="s">
        <v>5</v>
      </c>
      <c r="Y13" t="s">
        <v>5</v>
      </c>
      <c r="Z13" t="s">
        <v>5</v>
      </c>
      <c r="AA13" t="s">
        <v>5</v>
      </c>
      <c r="AB13" t="s">
        <v>8</v>
      </c>
      <c r="AC13" t="s">
        <v>9</v>
      </c>
    </row>
    <row r="14" spans="2:29" x14ac:dyDescent="0.25">
      <c r="B14" t="s">
        <v>2</v>
      </c>
      <c r="C14" t="s">
        <v>8</v>
      </c>
      <c r="D14" t="s">
        <v>8</v>
      </c>
      <c r="E14" t="s">
        <v>5</v>
      </c>
      <c r="F14" t="s">
        <v>5</v>
      </c>
      <c r="G14" t="s">
        <v>5</v>
      </c>
      <c r="H14" t="s">
        <v>8</v>
      </c>
      <c r="I14" t="s">
        <v>8</v>
      </c>
      <c r="J14" t="s">
        <v>5</v>
      </c>
      <c r="K14" t="s">
        <v>5</v>
      </c>
      <c r="L14" t="s">
        <v>5</v>
      </c>
      <c r="M14" t="s">
        <v>5</v>
      </c>
      <c r="N14" t="s">
        <v>8</v>
      </c>
      <c r="O14" t="s">
        <v>8</v>
      </c>
      <c r="P14" t="s">
        <v>8</v>
      </c>
      <c r="Q14" t="s">
        <v>8</v>
      </c>
      <c r="R14" t="s">
        <v>8</v>
      </c>
      <c r="S14" t="s">
        <v>5</v>
      </c>
      <c r="T14" t="s">
        <v>8</v>
      </c>
      <c r="U14" t="s">
        <v>5</v>
      </c>
      <c r="V14" t="s">
        <v>5</v>
      </c>
      <c r="W14" t="s">
        <v>5</v>
      </c>
      <c r="X14" t="s">
        <v>8</v>
      </c>
      <c r="Y14" t="s">
        <v>5</v>
      </c>
      <c r="Z14" t="s">
        <v>5</v>
      </c>
      <c r="AA14" t="s">
        <v>8</v>
      </c>
      <c r="AB14" t="s">
        <v>5</v>
      </c>
      <c r="AC14" t="s">
        <v>9</v>
      </c>
    </row>
    <row r="15" spans="2:29" x14ac:dyDescent="0.25">
      <c r="B15" t="s">
        <v>1</v>
      </c>
      <c r="C15" t="s">
        <v>5</v>
      </c>
      <c r="D15" t="s">
        <v>5</v>
      </c>
      <c r="E15" t="s">
        <v>8</v>
      </c>
      <c r="F15" t="s">
        <v>8</v>
      </c>
      <c r="G15" t="s">
        <v>8</v>
      </c>
      <c r="H15" t="s">
        <v>5</v>
      </c>
      <c r="I15" t="s">
        <v>5</v>
      </c>
      <c r="J15" t="s">
        <v>8</v>
      </c>
      <c r="K15" t="s">
        <v>8</v>
      </c>
      <c r="L15" t="s">
        <v>8</v>
      </c>
      <c r="M15" t="s">
        <v>5</v>
      </c>
      <c r="N15" t="s">
        <v>5</v>
      </c>
      <c r="O15" t="s">
        <v>5</v>
      </c>
      <c r="P15" t="s">
        <v>5</v>
      </c>
      <c r="Q15" t="s">
        <v>5</v>
      </c>
      <c r="R15" t="s">
        <v>8</v>
      </c>
      <c r="S15" t="s">
        <v>8</v>
      </c>
      <c r="T15" t="s">
        <v>8</v>
      </c>
      <c r="U15" t="s">
        <v>8</v>
      </c>
      <c r="V15" t="s">
        <v>5</v>
      </c>
      <c r="W15" t="s">
        <v>5</v>
      </c>
      <c r="X15" t="s">
        <v>8</v>
      </c>
      <c r="Y15" t="s">
        <v>8</v>
      </c>
      <c r="Z15" t="s">
        <v>8</v>
      </c>
      <c r="AA15" t="s">
        <v>8</v>
      </c>
      <c r="AB15" t="s">
        <v>5</v>
      </c>
      <c r="AC15" t="s">
        <v>6</v>
      </c>
    </row>
    <row r="16" spans="2:29" x14ac:dyDescent="0.25">
      <c r="B16" t="s">
        <v>1</v>
      </c>
      <c r="C16" t="s">
        <v>8</v>
      </c>
      <c r="D16" t="s">
        <v>8</v>
      </c>
      <c r="E16" t="s">
        <v>8</v>
      </c>
      <c r="F16" t="s">
        <v>5</v>
      </c>
      <c r="G16" t="s">
        <v>8</v>
      </c>
      <c r="H16" t="s">
        <v>5</v>
      </c>
      <c r="I16" t="s">
        <v>5</v>
      </c>
      <c r="J16" t="s">
        <v>8</v>
      </c>
      <c r="K16" t="s">
        <v>8</v>
      </c>
      <c r="L16" t="s">
        <v>8</v>
      </c>
      <c r="M16" t="s">
        <v>5</v>
      </c>
      <c r="N16" t="s">
        <v>5</v>
      </c>
      <c r="O16" t="s">
        <v>5</v>
      </c>
      <c r="P16" t="s">
        <v>5</v>
      </c>
      <c r="Q16" t="s">
        <v>8</v>
      </c>
      <c r="R16" t="s">
        <v>8</v>
      </c>
      <c r="S16" t="s">
        <v>8</v>
      </c>
      <c r="T16" t="s">
        <v>5</v>
      </c>
      <c r="U16" t="s">
        <v>8</v>
      </c>
      <c r="V16" t="s">
        <v>5</v>
      </c>
      <c r="W16" t="s">
        <v>5</v>
      </c>
      <c r="X16" t="s">
        <v>8</v>
      </c>
      <c r="Y16" t="s">
        <v>8</v>
      </c>
      <c r="Z16" t="s">
        <v>5</v>
      </c>
      <c r="AA16" t="s">
        <v>8</v>
      </c>
      <c r="AB16" t="s">
        <v>5</v>
      </c>
      <c r="AC16" t="s">
        <v>6</v>
      </c>
    </row>
    <row r="17" spans="1:29" x14ac:dyDescent="0.25">
      <c r="B17" t="s">
        <v>1</v>
      </c>
      <c r="C17" t="s">
        <v>5</v>
      </c>
      <c r="D17" t="s">
        <v>8</v>
      </c>
      <c r="E17" t="s">
        <v>8</v>
      </c>
      <c r="F17" t="s">
        <v>8</v>
      </c>
      <c r="G17" t="s">
        <v>8</v>
      </c>
      <c r="H17" t="s">
        <v>5</v>
      </c>
      <c r="I17" t="s">
        <v>5</v>
      </c>
      <c r="J17" t="s">
        <v>5</v>
      </c>
      <c r="K17" t="s">
        <v>8</v>
      </c>
      <c r="L17" t="s">
        <v>8</v>
      </c>
      <c r="M17" t="s">
        <v>8</v>
      </c>
      <c r="N17" t="s">
        <v>5</v>
      </c>
      <c r="O17" t="s">
        <v>5</v>
      </c>
      <c r="P17" t="s">
        <v>5</v>
      </c>
      <c r="Q17" t="s">
        <v>8</v>
      </c>
      <c r="R17" t="s">
        <v>8</v>
      </c>
      <c r="S17" t="s">
        <v>8</v>
      </c>
      <c r="T17" t="s">
        <v>8</v>
      </c>
      <c r="U17" t="s">
        <v>5</v>
      </c>
      <c r="V17" t="s">
        <v>5</v>
      </c>
      <c r="W17" t="s">
        <v>5</v>
      </c>
      <c r="X17" t="s">
        <v>8</v>
      </c>
      <c r="Y17" t="s">
        <v>5</v>
      </c>
      <c r="Z17" t="s">
        <v>5</v>
      </c>
      <c r="AA17" t="s">
        <v>8</v>
      </c>
      <c r="AB17" t="s">
        <v>8</v>
      </c>
      <c r="AC17" t="s">
        <v>6</v>
      </c>
    </row>
    <row r="18" spans="1:29" x14ac:dyDescent="0.25">
      <c r="B18" t="s">
        <v>2</v>
      </c>
      <c r="C18" t="s">
        <v>8</v>
      </c>
      <c r="D18" t="s">
        <v>5</v>
      </c>
      <c r="E18" t="s">
        <v>5</v>
      </c>
      <c r="F18" t="s">
        <v>5</v>
      </c>
      <c r="G18" t="s">
        <v>8</v>
      </c>
      <c r="H18" t="s">
        <v>8</v>
      </c>
      <c r="I18" t="s">
        <v>8</v>
      </c>
      <c r="J18" t="s">
        <v>8</v>
      </c>
      <c r="K18" t="s">
        <v>8</v>
      </c>
      <c r="L18" t="s">
        <v>5</v>
      </c>
      <c r="M18" t="s">
        <v>8</v>
      </c>
      <c r="N18" t="s">
        <v>5</v>
      </c>
      <c r="O18" t="s">
        <v>5</v>
      </c>
      <c r="P18" t="s">
        <v>5</v>
      </c>
      <c r="Q18" t="s">
        <v>8</v>
      </c>
      <c r="R18" t="s">
        <v>8</v>
      </c>
      <c r="S18" t="s">
        <v>5</v>
      </c>
      <c r="T18" t="s">
        <v>5</v>
      </c>
      <c r="U18" t="s">
        <v>5</v>
      </c>
      <c r="V18" t="s">
        <v>8</v>
      </c>
      <c r="W18" t="s">
        <v>8</v>
      </c>
      <c r="X18" t="s">
        <v>5</v>
      </c>
      <c r="Y18" t="s">
        <v>5</v>
      </c>
      <c r="Z18" t="s">
        <v>5</v>
      </c>
      <c r="AA18" t="s">
        <v>5</v>
      </c>
      <c r="AB18" t="s">
        <v>8</v>
      </c>
      <c r="AC18" t="s">
        <v>9</v>
      </c>
    </row>
    <row r="19" spans="1:29" x14ac:dyDescent="0.25">
      <c r="A19" s="1"/>
      <c r="B19" t="s">
        <v>3</v>
      </c>
      <c r="C19" t="s">
        <v>10</v>
      </c>
      <c r="D19" t="s">
        <v>5</v>
      </c>
      <c r="E19" t="s">
        <v>5</v>
      </c>
      <c r="F19" t="s">
        <v>10</v>
      </c>
      <c r="G19" t="s">
        <v>10</v>
      </c>
      <c r="H19" t="s">
        <v>10</v>
      </c>
      <c r="I19" t="s">
        <v>5</v>
      </c>
      <c r="J19" t="s">
        <v>10</v>
      </c>
      <c r="K19" t="s">
        <v>5</v>
      </c>
      <c r="L19" t="s">
        <v>10</v>
      </c>
      <c r="M19" t="s">
        <v>10</v>
      </c>
      <c r="N19" t="s">
        <v>10</v>
      </c>
      <c r="O19" t="s">
        <v>10</v>
      </c>
      <c r="P19" t="s">
        <v>10</v>
      </c>
      <c r="Q19" t="s">
        <v>5</v>
      </c>
      <c r="R19" t="s">
        <v>10</v>
      </c>
      <c r="S19" t="s">
        <v>10</v>
      </c>
      <c r="T19" t="s">
        <v>10</v>
      </c>
      <c r="U19" t="s">
        <v>10</v>
      </c>
      <c r="V19" t="s">
        <v>5</v>
      </c>
      <c r="W19" t="s">
        <v>5</v>
      </c>
      <c r="X19" t="s">
        <v>10</v>
      </c>
      <c r="Y19" t="s">
        <v>10</v>
      </c>
      <c r="Z19" t="s">
        <v>10</v>
      </c>
      <c r="AA19" t="s">
        <v>5</v>
      </c>
      <c r="AB19" t="s">
        <v>10</v>
      </c>
      <c r="AC19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B21"/>
  <sheetViews>
    <sheetView zoomScale="80" zoomScaleNormal="80" workbookViewId="0">
      <selection sqref="A1:AB1"/>
    </sheetView>
  </sheetViews>
  <sheetFormatPr defaultRowHeight="15" x14ac:dyDescent="0.25"/>
  <cols>
    <col min="1" max="28" width="8.7109375" customWidth="1"/>
  </cols>
  <sheetData>
    <row r="1" spans="1:28" x14ac:dyDescent="0.25">
      <c r="A1" s="3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3" t="s">
        <v>26</v>
      </c>
      <c r="P1" s="3" t="s">
        <v>27</v>
      </c>
      <c r="Q1" s="3" t="s">
        <v>28</v>
      </c>
      <c r="R1" s="3" t="s">
        <v>29</v>
      </c>
      <c r="S1" s="3" t="s">
        <v>30</v>
      </c>
      <c r="T1" s="3" t="s">
        <v>31</v>
      </c>
      <c r="U1" s="3" t="s">
        <v>32</v>
      </c>
      <c r="V1" s="2" t="s">
        <v>33</v>
      </c>
      <c r="W1" s="2" t="s">
        <v>34</v>
      </c>
      <c r="X1" s="2" t="s">
        <v>35</v>
      </c>
      <c r="Y1" s="2" t="s">
        <v>36</v>
      </c>
      <c r="Z1" s="2" t="s">
        <v>37</v>
      </c>
      <c r="AA1" s="2" t="s">
        <v>38</v>
      </c>
      <c r="AB1" s="2" t="s">
        <v>39</v>
      </c>
    </row>
    <row r="2" spans="1:28" x14ac:dyDescent="0.25">
      <c r="A2" s="3" t="s">
        <v>0</v>
      </c>
      <c r="B2" s="3" t="s">
        <v>5</v>
      </c>
      <c r="C2" s="3" t="s">
        <v>4</v>
      </c>
      <c r="D2" s="3" t="s">
        <v>5</v>
      </c>
      <c r="E2" s="3" t="s">
        <v>4</v>
      </c>
      <c r="F2" s="3" t="s">
        <v>5</v>
      </c>
      <c r="G2" s="3" t="s">
        <v>5</v>
      </c>
      <c r="H2" s="2" t="s">
        <v>5</v>
      </c>
      <c r="I2" s="2" t="s">
        <v>5</v>
      </c>
      <c r="J2" s="2" t="s">
        <v>5</v>
      </c>
      <c r="K2" s="2" t="s">
        <v>4</v>
      </c>
      <c r="L2" s="2" t="s">
        <v>4</v>
      </c>
      <c r="M2" s="2" t="s">
        <v>4</v>
      </c>
      <c r="N2" s="2" t="s">
        <v>4</v>
      </c>
      <c r="O2" s="3" t="s">
        <v>4</v>
      </c>
      <c r="P2" s="3" t="s">
        <v>5</v>
      </c>
      <c r="Q2" s="3" t="s">
        <v>4</v>
      </c>
      <c r="R2" s="3" t="s">
        <v>4</v>
      </c>
      <c r="S2" s="3" t="s">
        <v>5</v>
      </c>
      <c r="T2" s="3" t="s">
        <v>5</v>
      </c>
      <c r="U2" s="3" t="s">
        <v>5</v>
      </c>
      <c r="V2" s="2" t="s">
        <v>5</v>
      </c>
      <c r="W2" s="2" t="s">
        <v>4</v>
      </c>
      <c r="X2" s="2" t="s">
        <v>5</v>
      </c>
      <c r="Y2" s="2" t="s">
        <v>4</v>
      </c>
      <c r="Z2" s="2" t="s">
        <v>4</v>
      </c>
      <c r="AA2" s="2" t="s">
        <v>5</v>
      </c>
      <c r="AB2" s="2" t="s">
        <v>7</v>
      </c>
    </row>
    <row r="3" spans="1:28" x14ac:dyDescent="0.25">
      <c r="A3" s="3" t="s">
        <v>0</v>
      </c>
      <c r="B3" s="3" t="s">
        <v>5</v>
      </c>
      <c r="C3" s="3" t="s">
        <v>5</v>
      </c>
      <c r="D3" s="3" t="s">
        <v>4</v>
      </c>
      <c r="E3" s="3" t="s">
        <v>4</v>
      </c>
      <c r="F3" s="3" t="s">
        <v>5</v>
      </c>
      <c r="G3" s="3" t="s">
        <v>5</v>
      </c>
      <c r="H3" s="2" t="s">
        <v>5</v>
      </c>
      <c r="I3" s="2" t="s">
        <v>5</v>
      </c>
      <c r="J3" s="2" t="s">
        <v>4</v>
      </c>
      <c r="K3" s="2" t="s">
        <v>4</v>
      </c>
      <c r="L3" s="2" t="s">
        <v>4</v>
      </c>
      <c r="M3" s="2" t="s">
        <v>5</v>
      </c>
      <c r="N3" s="2" t="s">
        <v>4</v>
      </c>
      <c r="O3" s="3" t="s">
        <v>4</v>
      </c>
      <c r="P3" s="3" t="s">
        <v>5</v>
      </c>
      <c r="Q3" s="3" t="s">
        <v>4</v>
      </c>
      <c r="R3" s="3" t="s">
        <v>4</v>
      </c>
      <c r="S3" s="3" t="s">
        <v>5</v>
      </c>
      <c r="T3" s="3" t="s">
        <v>5</v>
      </c>
      <c r="U3" s="3" t="s">
        <v>5</v>
      </c>
      <c r="V3" s="2" t="s">
        <v>5</v>
      </c>
      <c r="W3" s="2" t="s">
        <v>4</v>
      </c>
      <c r="X3" s="2" t="s">
        <v>5</v>
      </c>
      <c r="Y3" s="2" t="s">
        <v>4</v>
      </c>
      <c r="Z3" s="2" t="s">
        <v>4</v>
      </c>
      <c r="AA3" s="2" t="s">
        <v>5</v>
      </c>
      <c r="AB3" s="2" t="s">
        <v>7</v>
      </c>
    </row>
    <row r="4" spans="1:28" x14ac:dyDescent="0.25">
      <c r="A4" s="3" t="s">
        <v>0</v>
      </c>
      <c r="B4" s="3" t="s">
        <v>5</v>
      </c>
      <c r="C4" s="3" t="s">
        <v>5</v>
      </c>
      <c r="D4" s="3" t="s">
        <v>5</v>
      </c>
      <c r="E4" s="3" t="s">
        <v>4</v>
      </c>
      <c r="F4" s="3" t="s">
        <v>4</v>
      </c>
      <c r="G4" s="3" t="s">
        <v>5</v>
      </c>
      <c r="H4" s="2" t="s">
        <v>5</v>
      </c>
      <c r="I4" s="2" t="s">
        <v>5</v>
      </c>
      <c r="J4" s="2" t="s">
        <v>4</v>
      </c>
      <c r="K4" s="2" t="s">
        <v>4</v>
      </c>
      <c r="L4" s="2" t="s">
        <v>4</v>
      </c>
      <c r="M4" s="2" t="s">
        <v>5</v>
      </c>
      <c r="N4" s="2" t="s">
        <v>4</v>
      </c>
      <c r="O4" s="3" t="s">
        <v>4</v>
      </c>
      <c r="P4" s="3" t="s">
        <v>5</v>
      </c>
      <c r="Q4" s="3" t="s">
        <v>5</v>
      </c>
      <c r="R4" s="3" t="s">
        <v>4</v>
      </c>
      <c r="S4" s="3" t="s">
        <v>5</v>
      </c>
      <c r="T4" s="3" t="s">
        <v>4</v>
      </c>
      <c r="U4" s="3" t="s">
        <v>5</v>
      </c>
      <c r="V4" s="2" t="s">
        <v>5</v>
      </c>
      <c r="W4" s="2" t="s">
        <v>4</v>
      </c>
      <c r="X4" s="2" t="s">
        <v>4</v>
      </c>
      <c r="Y4" s="2" t="s">
        <v>5</v>
      </c>
      <c r="Z4" s="2" t="s">
        <v>4</v>
      </c>
      <c r="AA4" s="2" t="s">
        <v>5</v>
      </c>
      <c r="AB4" s="2" t="s">
        <v>7</v>
      </c>
    </row>
    <row r="5" spans="1:28" x14ac:dyDescent="0.25">
      <c r="A5" s="3" t="s">
        <v>1</v>
      </c>
      <c r="B5" s="3" t="s">
        <v>5</v>
      </c>
      <c r="C5" s="3" t="s">
        <v>5</v>
      </c>
      <c r="D5" s="3" t="s">
        <v>4</v>
      </c>
      <c r="E5" s="3" t="s">
        <v>5</v>
      </c>
      <c r="F5" s="3" t="s">
        <v>4</v>
      </c>
      <c r="G5" s="3" t="s">
        <v>4</v>
      </c>
      <c r="H5" s="2" t="s">
        <v>4</v>
      </c>
      <c r="I5" s="2" t="s">
        <v>4</v>
      </c>
      <c r="J5" s="2" t="s">
        <v>4</v>
      </c>
      <c r="K5" s="2" t="s">
        <v>4</v>
      </c>
      <c r="L5" s="2" t="s">
        <v>5</v>
      </c>
      <c r="M5" s="2" t="s">
        <v>5</v>
      </c>
      <c r="N5" s="2" t="s">
        <v>5</v>
      </c>
      <c r="O5" s="3" t="s">
        <v>5</v>
      </c>
      <c r="P5" s="3" t="s">
        <v>4</v>
      </c>
      <c r="Q5" s="3" t="s">
        <v>4</v>
      </c>
      <c r="R5" s="3" t="s">
        <v>5</v>
      </c>
      <c r="S5" s="3" t="s">
        <v>5</v>
      </c>
      <c r="T5" s="3" t="s">
        <v>5</v>
      </c>
      <c r="U5" s="3" t="s">
        <v>4</v>
      </c>
      <c r="V5" s="2" t="s">
        <v>4</v>
      </c>
      <c r="W5" s="2" t="s">
        <v>4</v>
      </c>
      <c r="X5" s="2" t="s">
        <v>5</v>
      </c>
      <c r="Y5" s="2" t="s">
        <v>4</v>
      </c>
      <c r="Z5" s="2" t="s">
        <v>5</v>
      </c>
      <c r="AA5" s="2" t="s">
        <v>4</v>
      </c>
      <c r="AB5" s="2" t="s">
        <v>6</v>
      </c>
    </row>
    <row r="6" spans="1:28" x14ac:dyDescent="0.25">
      <c r="A6" s="3" t="s">
        <v>0</v>
      </c>
      <c r="B6" s="3" t="s">
        <v>4</v>
      </c>
      <c r="C6" s="3" t="s">
        <v>4</v>
      </c>
      <c r="D6" s="3" t="s">
        <v>5</v>
      </c>
      <c r="E6" s="3" t="s">
        <v>4</v>
      </c>
      <c r="F6" s="3" t="s">
        <v>5</v>
      </c>
      <c r="G6" s="3" t="s">
        <v>5</v>
      </c>
      <c r="H6" s="2" t="s">
        <v>5</v>
      </c>
      <c r="I6" s="2" t="s">
        <v>4</v>
      </c>
      <c r="J6" s="2" t="s">
        <v>4</v>
      </c>
      <c r="K6" s="2" t="s">
        <v>5</v>
      </c>
      <c r="L6" s="2" t="s">
        <v>5</v>
      </c>
      <c r="M6" s="2" t="s">
        <v>5</v>
      </c>
      <c r="N6" s="2" t="s">
        <v>4</v>
      </c>
      <c r="O6" s="3" t="s">
        <v>4</v>
      </c>
      <c r="P6" s="3" t="s">
        <v>5</v>
      </c>
      <c r="Q6" s="3" t="s">
        <v>5</v>
      </c>
      <c r="R6" s="3" t="s">
        <v>5</v>
      </c>
      <c r="S6" s="3" t="s">
        <v>4</v>
      </c>
      <c r="T6" s="3" t="s">
        <v>4</v>
      </c>
      <c r="U6" s="3" t="s">
        <v>5</v>
      </c>
      <c r="V6" s="2" t="s">
        <v>5</v>
      </c>
      <c r="W6" s="2" t="s">
        <v>4</v>
      </c>
      <c r="X6" s="2" t="s">
        <v>4</v>
      </c>
      <c r="Y6" s="2" t="s">
        <v>4</v>
      </c>
      <c r="Z6" s="2" t="s">
        <v>5</v>
      </c>
      <c r="AA6" s="2" t="s">
        <v>5</v>
      </c>
      <c r="AB6" s="2" t="s">
        <v>7</v>
      </c>
    </row>
    <row r="7" spans="1:28" x14ac:dyDescent="0.25">
      <c r="A7" s="3" t="s">
        <v>1</v>
      </c>
      <c r="B7" s="3" t="s">
        <v>4</v>
      </c>
      <c r="C7" s="3" t="s">
        <v>4</v>
      </c>
      <c r="D7" s="3" t="s">
        <v>4</v>
      </c>
      <c r="E7" s="3" t="s">
        <v>5</v>
      </c>
      <c r="F7" s="3" t="s">
        <v>5</v>
      </c>
      <c r="G7" s="3" t="s">
        <v>4</v>
      </c>
      <c r="H7" s="2" t="s">
        <v>4</v>
      </c>
      <c r="I7" s="2" t="s">
        <v>4</v>
      </c>
      <c r="J7" s="2" t="s">
        <v>5</v>
      </c>
      <c r="K7" s="2" t="s">
        <v>5</v>
      </c>
      <c r="L7" s="2" t="s">
        <v>5</v>
      </c>
      <c r="M7" s="2" t="s">
        <v>4</v>
      </c>
      <c r="N7" s="2" t="s">
        <v>5</v>
      </c>
      <c r="O7" s="3" t="s">
        <v>5</v>
      </c>
      <c r="P7" s="3" t="s">
        <v>4</v>
      </c>
      <c r="Q7" s="3" t="s">
        <v>5</v>
      </c>
      <c r="R7" s="3" t="s">
        <v>5</v>
      </c>
      <c r="S7" s="3" t="s">
        <v>5</v>
      </c>
      <c r="T7" s="3" t="s">
        <v>4</v>
      </c>
      <c r="U7" s="3" t="s">
        <v>4</v>
      </c>
      <c r="V7" s="2" t="s">
        <v>4</v>
      </c>
      <c r="W7" s="2" t="s">
        <v>4</v>
      </c>
      <c r="X7" s="2" t="s">
        <v>4</v>
      </c>
      <c r="Y7" s="2" t="s">
        <v>5</v>
      </c>
      <c r="Z7" s="2" t="s">
        <v>5</v>
      </c>
      <c r="AA7" s="2" t="s">
        <v>4</v>
      </c>
      <c r="AB7" s="2" t="s">
        <v>6</v>
      </c>
    </row>
    <row r="8" spans="1:28" x14ac:dyDescent="0.25">
      <c r="A8" s="3" t="s">
        <v>1</v>
      </c>
      <c r="B8" s="3" t="s">
        <v>4</v>
      </c>
      <c r="C8" s="3" t="s">
        <v>4</v>
      </c>
      <c r="D8" s="3" t="s">
        <v>5</v>
      </c>
      <c r="E8" s="3" t="s">
        <v>5</v>
      </c>
      <c r="F8" s="3" t="s">
        <v>4</v>
      </c>
      <c r="G8" s="3" t="s">
        <v>4</v>
      </c>
      <c r="H8" s="2" t="s">
        <v>4</v>
      </c>
      <c r="I8" s="2" t="s">
        <v>4</v>
      </c>
      <c r="J8" s="2" t="s">
        <v>4</v>
      </c>
      <c r="K8" s="2" t="s">
        <v>5</v>
      </c>
      <c r="L8" s="2" t="s">
        <v>5</v>
      </c>
      <c r="M8" s="2" t="s">
        <v>5</v>
      </c>
      <c r="N8" s="2" t="s">
        <v>5</v>
      </c>
      <c r="O8" s="3" t="s">
        <v>5</v>
      </c>
      <c r="P8" s="3" t="s">
        <v>5</v>
      </c>
      <c r="Q8" s="3" t="s">
        <v>5</v>
      </c>
      <c r="R8" s="3" t="s">
        <v>4</v>
      </c>
      <c r="S8" s="3" t="s">
        <v>4</v>
      </c>
      <c r="T8" s="3" t="s">
        <v>5</v>
      </c>
      <c r="U8" s="3" t="s">
        <v>4</v>
      </c>
      <c r="V8" s="2" t="s">
        <v>4</v>
      </c>
      <c r="W8" s="2" t="s">
        <v>4</v>
      </c>
      <c r="X8" s="2" t="s">
        <v>4</v>
      </c>
      <c r="Y8" s="2" t="s">
        <v>5</v>
      </c>
      <c r="Z8" s="2" t="s">
        <v>4</v>
      </c>
      <c r="AA8" s="2" t="s">
        <v>5</v>
      </c>
      <c r="AB8" s="2" t="s">
        <v>6</v>
      </c>
    </row>
    <row r="9" spans="1:28" x14ac:dyDescent="0.25">
      <c r="A9" s="3" t="s">
        <v>1</v>
      </c>
      <c r="B9" s="3" t="s">
        <v>4</v>
      </c>
      <c r="C9" s="3" t="s">
        <v>4</v>
      </c>
      <c r="D9" s="3" t="s">
        <v>5</v>
      </c>
      <c r="E9" s="3" t="s">
        <v>5</v>
      </c>
      <c r="F9" s="3" t="s">
        <v>4</v>
      </c>
      <c r="G9" s="3" t="s">
        <v>4</v>
      </c>
      <c r="H9" s="2" t="s">
        <v>4</v>
      </c>
      <c r="I9" s="2" t="s">
        <v>4</v>
      </c>
      <c r="J9" s="2" t="s">
        <v>5</v>
      </c>
      <c r="K9" s="2" t="s">
        <v>5</v>
      </c>
      <c r="L9" s="2" t="s">
        <v>5</v>
      </c>
      <c r="M9" s="2" t="s">
        <v>4</v>
      </c>
      <c r="N9" s="2" t="s">
        <v>5</v>
      </c>
      <c r="O9" s="3" t="s">
        <v>5</v>
      </c>
      <c r="P9" s="3" t="s">
        <v>4</v>
      </c>
      <c r="Q9" s="3" t="s">
        <v>5</v>
      </c>
      <c r="R9" s="3" t="s">
        <v>5</v>
      </c>
      <c r="S9" s="3" t="s">
        <v>5</v>
      </c>
      <c r="T9" s="3" t="s">
        <v>4</v>
      </c>
      <c r="U9" s="3" t="s">
        <v>4</v>
      </c>
      <c r="V9" s="2" t="s">
        <v>4</v>
      </c>
      <c r="W9" s="2" t="s">
        <v>4</v>
      </c>
      <c r="X9" s="2" t="s">
        <v>5</v>
      </c>
      <c r="Y9" s="2" t="s">
        <v>5</v>
      </c>
      <c r="Z9" s="2" t="s">
        <v>4</v>
      </c>
      <c r="AA9" s="2" t="s">
        <v>4</v>
      </c>
      <c r="AB9" s="2" t="s">
        <v>6</v>
      </c>
    </row>
    <row r="10" spans="1:28" x14ac:dyDescent="0.25">
      <c r="A10" s="3" t="s">
        <v>1</v>
      </c>
      <c r="B10" s="3" t="s">
        <v>5</v>
      </c>
      <c r="C10" s="3" t="s">
        <v>5</v>
      </c>
      <c r="D10" s="3" t="s">
        <v>4</v>
      </c>
      <c r="E10" s="3" t="s">
        <v>5</v>
      </c>
      <c r="F10" s="3" t="s">
        <v>4</v>
      </c>
      <c r="G10" s="3" t="s">
        <v>4</v>
      </c>
      <c r="H10" s="2" t="s">
        <v>4</v>
      </c>
      <c r="I10" s="2" t="s">
        <v>5</v>
      </c>
      <c r="J10" s="2" t="s">
        <v>5</v>
      </c>
      <c r="K10" s="2" t="s">
        <v>4</v>
      </c>
      <c r="L10" s="2" t="s">
        <v>4</v>
      </c>
      <c r="M10" s="2" t="s">
        <v>4</v>
      </c>
      <c r="N10" s="2" t="s">
        <v>5</v>
      </c>
      <c r="O10" s="3" t="s">
        <v>5</v>
      </c>
      <c r="P10" s="3" t="s">
        <v>4</v>
      </c>
      <c r="Q10" s="3" t="s">
        <v>5</v>
      </c>
      <c r="R10" s="3" t="s">
        <v>5</v>
      </c>
      <c r="S10" s="3" t="s">
        <v>4</v>
      </c>
      <c r="T10" s="3" t="s">
        <v>5</v>
      </c>
      <c r="U10" s="3" t="s">
        <v>4</v>
      </c>
      <c r="V10" s="2" t="s">
        <v>4</v>
      </c>
      <c r="W10" s="2" t="s">
        <v>4</v>
      </c>
      <c r="X10" s="2" t="s">
        <v>5</v>
      </c>
      <c r="Y10" s="2" t="s">
        <v>4</v>
      </c>
      <c r="Z10" s="2" t="s">
        <v>5</v>
      </c>
      <c r="AA10" s="2" t="s">
        <v>4</v>
      </c>
      <c r="AB10" s="2" t="s">
        <v>6</v>
      </c>
    </row>
    <row r="11" spans="1:28" x14ac:dyDescent="0.25">
      <c r="A11" s="3" t="s">
        <v>0</v>
      </c>
      <c r="B11" s="3" t="s">
        <v>4</v>
      </c>
      <c r="C11" s="3" t="s">
        <v>5</v>
      </c>
      <c r="D11" s="3" t="s">
        <v>4</v>
      </c>
      <c r="E11" s="3" t="s">
        <v>4</v>
      </c>
      <c r="F11" s="3" t="s">
        <v>5</v>
      </c>
      <c r="G11" s="3" t="s">
        <v>5</v>
      </c>
      <c r="H11" s="2" t="s">
        <v>5</v>
      </c>
      <c r="I11" s="2" t="s">
        <v>5</v>
      </c>
      <c r="J11" s="2" t="s">
        <v>5</v>
      </c>
      <c r="K11" s="2" t="s">
        <v>5</v>
      </c>
      <c r="L11" s="2" t="s">
        <v>4</v>
      </c>
      <c r="M11" s="2" t="s">
        <v>4</v>
      </c>
      <c r="N11" s="2" t="s">
        <v>4</v>
      </c>
      <c r="O11" s="3" t="s">
        <v>4</v>
      </c>
      <c r="P11" s="3" t="s">
        <v>5</v>
      </c>
      <c r="Q11" s="3" t="s">
        <v>4</v>
      </c>
      <c r="R11" s="3" t="s">
        <v>5</v>
      </c>
      <c r="S11" s="3" t="s">
        <v>4</v>
      </c>
      <c r="T11" s="3" t="s">
        <v>5</v>
      </c>
      <c r="U11" s="3" t="s">
        <v>5</v>
      </c>
      <c r="V11" s="2" t="s">
        <v>5</v>
      </c>
      <c r="W11" s="2" t="s">
        <v>4</v>
      </c>
      <c r="X11" s="2" t="s">
        <v>4</v>
      </c>
      <c r="Y11" s="2" t="s">
        <v>5</v>
      </c>
      <c r="Z11" s="2" t="s">
        <v>5</v>
      </c>
      <c r="AA11" s="2" t="s">
        <v>4</v>
      </c>
      <c r="AB11" s="2" t="s">
        <v>7</v>
      </c>
    </row>
    <row r="12" spans="1:28" x14ac:dyDescent="0.25">
      <c r="A12" s="3" t="s">
        <v>2</v>
      </c>
      <c r="B12" s="3" t="s">
        <v>5</v>
      </c>
      <c r="C12" s="3" t="s">
        <v>8</v>
      </c>
      <c r="D12" s="3" t="s">
        <v>8</v>
      </c>
      <c r="E12" s="3" t="s">
        <v>8</v>
      </c>
      <c r="F12" s="3" t="s">
        <v>5</v>
      </c>
      <c r="G12" s="3" t="s">
        <v>5</v>
      </c>
      <c r="H12" s="2" t="s">
        <v>5</v>
      </c>
      <c r="I12" s="2" t="s">
        <v>5</v>
      </c>
      <c r="J12" s="2" t="s">
        <v>5</v>
      </c>
      <c r="K12" s="2" t="s">
        <v>5</v>
      </c>
      <c r="L12" s="2" t="s">
        <v>8</v>
      </c>
      <c r="M12" s="2" t="s">
        <v>8</v>
      </c>
      <c r="N12" s="2" t="s">
        <v>8</v>
      </c>
      <c r="O12" s="3" t="s">
        <v>8</v>
      </c>
      <c r="P12" s="3" t="s">
        <v>5</v>
      </c>
      <c r="Q12" s="3" t="s">
        <v>8</v>
      </c>
      <c r="R12" s="3" t="s">
        <v>5</v>
      </c>
      <c r="S12" s="3" t="s">
        <v>8</v>
      </c>
      <c r="T12" s="3" t="s">
        <v>5</v>
      </c>
      <c r="U12" s="3" t="s">
        <v>5</v>
      </c>
      <c r="V12" s="2" t="s">
        <v>5</v>
      </c>
      <c r="W12" s="2" t="s">
        <v>8</v>
      </c>
      <c r="X12" s="2" t="s">
        <v>5</v>
      </c>
      <c r="Y12" s="2" t="s">
        <v>8</v>
      </c>
      <c r="Z12" s="2" t="s">
        <v>8</v>
      </c>
      <c r="AA12" s="2" t="s">
        <v>5</v>
      </c>
      <c r="AB12" s="2" t="s">
        <v>9</v>
      </c>
    </row>
    <row r="13" spans="1:28" x14ac:dyDescent="0.25">
      <c r="A13" s="3" t="s">
        <v>2</v>
      </c>
      <c r="B13" s="3" t="s">
        <v>5</v>
      </c>
      <c r="C13" s="3" t="s">
        <v>5</v>
      </c>
      <c r="D13" s="3" t="s">
        <v>8</v>
      </c>
      <c r="E13" s="3" t="s">
        <v>8</v>
      </c>
      <c r="F13" s="3" t="s">
        <v>5</v>
      </c>
      <c r="G13" s="3" t="s">
        <v>5</v>
      </c>
      <c r="H13" s="2" t="s">
        <v>5</v>
      </c>
      <c r="I13" s="2" t="s">
        <v>5</v>
      </c>
      <c r="J13" s="2" t="s">
        <v>5</v>
      </c>
      <c r="K13" s="2" t="s">
        <v>8</v>
      </c>
      <c r="L13" s="2" t="s">
        <v>8</v>
      </c>
      <c r="M13" s="2" t="s">
        <v>8</v>
      </c>
      <c r="N13" s="2" t="s">
        <v>8</v>
      </c>
      <c r="O13" s="3" t="s">
        <v>8</v>
      </c>
      <c r="P13" s="3" t="s">
        <v>8</v>
      </c>
      <c r="Q13" s="3" t="s">
        <v>5</v>
      </c>
      <c r="R13" s="3" t="s">
        <v>5</v>
      </c>
      <c r="S13" s="3" t="s">
        <v>8</v>
      </c>
      <c r="T13" s="3" t="s">
        <v>5</v>
      </c>
      <c r="U13" s="3" t="s">
        <v>5</v>
      </c>
      <c r="V13" s="2" t="s">
        <v>5</v>
      </c>
      <c r="W13" s="2" t="s">
        <v>5</v>
      </c>
      <c r="X13" s="2" t="s">
        <v>8</v>
      </c>
      <c r="Y13" s="2" t="s">
        <v>8</v>
      </c>
      <c r="Z13" s="2" t="s">
        <v>8</v>
      </c>
      <c r="AA13" s="2" t="s">
        <v>5</v>
      </c>
      <c r="AB13" s="2" t="s">
        <v>9</v>
      </c>
    </row>
    <row r="14" spans="1:28" x14ac:dyDescent="0.25">
      <c r="A14" s="3" t="s">
        <v>2</v>
      </c>
      <c r="B14" s="3" t="s">
        <v>5</v>
      </c>
      <c r="C14" s="3" t="s">
        <v>5</v>
      </c>
      <c r="D14" s="3" t="s">
        <v>8</v>
      </c>
      <c r="E14" s="3" t="s">
        <v>5</v>
      </c>
      <c r="F14" s="3" t="s">
        <v>8</v>
      </c>
      <c r="G14" s="3" t="s">
        <v>5</v>
      </c>
      <c r="H14" s="2" t="s">
        <v>5</v>
      </c>
      <c r="I14" s="2" t="s">
        <v>5</v>
      </c>
      <c r="J14" s="2" t="s">
        <v>8</v>
      </c>
      <c r="K14" s="2" t="s">
        <v>5</v>
      </c>
      <c r="L14" s="2" t="s">
        <v>8</v>
      </c>
      <c r="M14" s="2" t="s">
        <v>8</v>
      </c>
      <c r="N14" s="2" t="s">
        <v>8</v>
      </c>
      <c r="O14" s="3" t="s">
        <v>8</v>
      </c>
      <c r="P14" s="3" t="s">
        <v>5</v>
      </c>
      <c r="Q14" s="3" t="s">
        <v>8</v>
      </c>
      <c r="R14" s="3" t="s">
        <v>5</v>
      </c>
      <c r="S14" s="3" t="s">
        <v>5</v>
      </c>
      <c r="T14" s="3" t="s">
        <v>8</v>
      </c>
      <c r="U14" s="3" t="s">
        <v>5</v>
      </c>
      <c r="V14" s="2" t="s">
        <v>5</v>
      </c>
      <c r="W14" s="2" t="s">
        <v>8</v>
      </c>
      <c r="X14" s="2" t="s">
        <v>8</v>
      </c>
      <c r="Y14" s="2" t="s">
        <v>8</v>
      </c>
      <c r="Z14" s="2" t="s">
        <v>5</v>
      </c>
      <c r="AA14" s="2" t="s">
        <v>5</v>
      </c>
      <c r="AB14" s="2" t="s">
        <v>9</v>
      </c>
    </row>
    <row r="15" spans="1:28" x14ac:dyDescent="0.25">
      <c r="A15" s="3" t="s">
        <v>1</v>
      </c>
      <c r="B15" s="3" t="s">
        <v>8</v>
      </c>
      <c r="C15" s="3" t="s">
        <v>8</v>
      </c>
      <c r="D15" s="3" t="s">
        <v>5</v>
      </c>
      <c r="E15" s="3" t="s">
        <v>5</v>
      </c>
      <c r="F15" s="3" t="s">
        <v>5</v>
      </c>
      <c r="G15" s="3" t="s">
        <v>8</v>
      </c>
      <c r="H15" s="2" t="s">
        <v>8</v>
      </c>
      <c r="I15" s="2" t="s">
        <v>5</v>
      </c>
      <c r="J15" s="2" t="s">
        <v>8</v>
      </c>
      <c r="K15" s="2" t="s">
        <v>5</v>
      </c>
      <c r="L15" s="2" t="s">
        <v>8</v>
      </c>
      <c r="M15" s="2" t="s">
        <v>8</v>
      </c>
      <c r="N15" s="2" t="s">
        <v>5</v>
      </c>
      <c r="O15" s="3" t="s">
        <v>5</v>
      </c>
      <c r="P15" s="3" t="s">
        <v>5</v>
      </c>
      <c r="Q15" s="3" t="s">
        <v>5</v>
      </c>
      <c r="R15" s="3" t="s">
        <v>5</v>
      </c>
      <c r="S15" s="3" t="s">
        <v>8</v>
      </c>
      <c r="T15" s="3" t="s">
        <v>8</v>
      </c>
      <c r="U15" s="3" t="s">
        <v>8</v>
      </c>
      <c r="V15" s="2" t="s">
        <v>8</v>
      </c>
      <c r="W15" s="2" t="s">
        <v>8</v>
      </c>
      <c r="X15" s="2" t="s">
        <v>5</v>
      </c>
      <c r="Y15" s="2" t="s">
        <v>8</v>
      </c>
      <c r="Z15" s="2" t="s">
        <v>5</v>
      </c>
      <c r="AA15" s="2" t="s">
        <v>8</v>
      </c>
      <c r="AB15" s="2" t="s">
        <v>6</v>
      </c>
    </row>
    <row r="16" spans="1:28" x14ac:dyDescent="0.25">
      <c r="A16" s="3" t="s">
        <v>2</v>
      </c>
      <c r="B16" s="3" t="s">
        <v>8</v>
      </c>
      <c r="C16" s="3" t="s">
        <v>8</v>
      </c>
      <c r="D16" s="3" t="s">
        <v>5</v>
      </c>
      <c r="E16" s="3" t="s">
        <v>5</v>
      </c>
      <c r="F16" s="3" t="s">
        <v>5</v>
      </c>
      <c r="G16" s="3" t="s">
        <v>5</v>
      </c>
      <c r="H16" s="2" t="s">
        <v>5</v>
      </c>
      <c r="I16" s="2" t="s">
        <v>8</v>
      </c>
      <c r="J16" s="2" t="s">
        <v>8</v>
      </c>
      <c r="K16" s="2" t="s">
        <v>8</v>
      </c>
      <c r="L16" s="2" t="s">
        <v>5</v>
      </c>
      <c r="M16" s="2" t="s">
        <v>5</v>
      </c>
      <c r="N16" s="2" t="s">
        <v>8</v>
      </c>
      <c r="O16" s="3" t="s">
        <v>8</v>
      </c>
      <c r="P16" s="3" t="s">
        <v>8</v>
      </c>
      <c r="Q16" s="3" t="s">
        <v>8</v>
      </c>
      <c r="R16" s="3" t="s">
        <v>5</v>
      </c>
      <c r="S16" s="3" t="s">
        <v>5</v>
      </c>
      <c r="T16" s="3" t="s">
        <v>5</v>
      </c>
      <c r="U16" s="3" t="s">
        <v>5</v>
      </c>
      <c r="V16" s="2" t="s">
        <v>5</v>
      </c>
      <c r="W16" s="2" t="s">
        <v>8</v>
      </c>
      <c r="X16" s="2" t="s">
        <v>5</v>
      </c>
      <c r="Y16" s="2" t="s">
        <v>8</v>
      </c>
      <c r="Z16" s="2" t="s">
        <v>5</v>
      </c>
      <c r="AA16" s="2" t="s">
        <v>8</v>
      </c>
      <c r="AB16" s="2" t="s">
        <v>9</v>
      </c>
    </row>
    <row r="17" spans="1:28" x14ac:dyDescent="0.25">
      <c r="A17" s="3" t="s">
        <v>1</v>
      </c>
      <c r="B17" s="3" t="s">
        <v>8</v>
      </c>
      <c r="C17" s="3" t="s">
        <v>8</v>
      </c>
      <c r="D17" s="3" t="s">
        <v>5</v>
      </c>
      <c r="E17" s="3" t="s">
        <v>5</v>
      </c>
      <c r="F17" s="3" t="s">
        <v>8</v>
      </c>
      <c r="G17" s="3" t="s">
        <v>8</v>
      </c>
      <c r="H17" s="2" t="s">
        <v>8</v>
      </c>
      <c r="I17" s="2" t="s">
        <v>8</v>
      </c>
      <c r="J17" s="2" t="s">
        <v>5</v>
      </c>
      <c r="K17" s="2" t="s">
        <v>8</v>
      </c>
      <c r="L17" s="2" t="s">
        <v>5</v>
      </c>
      <c r="M17" s="2" t="s">
        <v>5</v>
      </c>
      <c r="N17" s="2" t="s">
        <v>5</v>
      </c>
      <c r="O17" s="3" t="s">
        <v>5</v>
      </c>
      <c r="P17" s="3" t="s">
        <v>5</v>
      </c>
      <c r="Q17" s="3" t="s">
        <v>5</v>
      </c>
      <c r="R17" s="3" t="s">
        <v>8</v>
      </c>
      <c r="S17" s="3" t="s">
        <v>5</v>
      </c>
      <c r="T17" s="3" t="s">
        <v>8</v>
      </c>
      <c r="U17" s="3" t="s">
        <v>8</v>
      </c>
      <c r="V17" s="2" t="s">
        <v>8</v>
      </c>
      <c r="W17" s="2" t="s">
        <v>5</v>
      </c>
      <c r="X17" s="2" t="s">
        <v>5</v>
      </c>
      <c r="Y17" s="2" t="s">
        <v>8</v>
      </c>
      <c r="Z17" s="2" t="s">
        <v>8</v>
      </c>
      <c r="AA17" s="2" t="s">
        <v>8</v>
      </c>
      <c r="AB17" s="2" t="s">
        <v>6</v>
      </c>
    </row>
    <row r="18" spans="1:28" x14ac:dyDescent="0.25">
      <c r="A18" s="3" t="s">
        <v>1</v>
      </c>
      <c r="B18" s="3" t="s">
        <v>8</v>
      </c>
      <c r="C18" s="3" t="s">
        <v>5</v>
      </c>
      <c r="D18" s="3" t="s">
        <v>5</v>
      </c>
      <c r="E18" s="3" t="s">
        <v>8</v>
      </c>
      <c r="F18" s="3" t="s">
        <v>8</v>
      </c>
      <c r="G18" s="3" t="s">
        <v>8</v>
      </c>
      <c r="H18" s="2" t="s">
        <v>8</v>
      </c>
      <c r="I18" s="2" t="s">
        <v>8</v>
      </c>
      <c r="J18" s="2" t="s">
        <v>5</v>
      </c>
      <c r="K18" s="2" t="s">
        <v>8</v>
      </c>
      <c r="L18" s="2" t="s">
        <v>5</v>
      </c>
      <c r="M18" s="2" t="s">
        <v>5</v>
      </c>
      <c r="N18" s="2" t="s">
        <v>5</v>
      </c>
      <c r="O18" s="3" t="s">
        <v>5</v>
      </c>
      <c r="P18" s="3" t="s">
        <v>5</v>
      </c>
      <c r="Q18" s="3" t="s">
        <v>5</v>
      </c>
      <c r="R18" s="3" t="s">
        <v>5</v>
      </c>
      <c r="S18" s="3" t="s">
        <v>8</v>
      </c>
      <c r="T18" s="3" t="s">
        <v>8</v>
      </c>
      <c r="U18" s="3" t="s">
        <v>8</v>
      </c>
      <c r="V18" s="2" t="s">
        <v>8</v>
      </c>
      <c r="W18" s="2" t="s">
        <v>5</v>
      </c>
      <c r="X18" s="2" t="s">
        <v>8</v>
      </c>
      <c r="Y18" s="2" t="s">
        <v>8</v>
      </c>
      <c r="Z18" s="2" t="s">
        <v>5</v>
      </c>
      <c r="AA18" s="2" t="s">
        <v>8</v>
      </c>
      <c r="AB18" s="2" t="s">
        <v>6</v>
      </c>
    </row>
    <row r="19" spans="1:28" x14ac:dyDescent="0.25">
      <c r="A19" s="3" t="s">
        <v>1</v>
      </c>
      <c r="B19" s="3" t="s">
        <v>5</v>
      </c>
      <c r="C19" s="3" t="s">
        <v>5</v>
      </c>
      <c r="D19" s="3" t="s">
        <v>8</v>
      </c>
      <c r="E19" s="3" t="s">
        <v>8</v>
      </c>
      <c r="F19" s="3" t="s">
        <v>8</v>
      </c>
      <c r="G19" s="3" t="s">
        <v>8</v>
      </c>
      <c r="H19" s="2" t="s">
        <v>8</v>
      </c>
      <c r="I19" s="2" t="s">
        <v>8</v>
      </c>
      <c r="J19" s="2" t="s">
        <v>5</v>
      </c>
      <c r="K19" s="2" t="s">
        <v>5</v>
      </c>
      <c r="L19" s="2" t="s">
        <v>5</v>
      </c>
      <c r="M19" s="2" t="s">
        <v>8</v>
      </c>
      <c r="N19" s="2" t="s">
        <v>5</v>
      </c>
      <c r="O19" s="3" t="s">
        <v>5</v>
      </c>
      <c r="P19" s="3" t="s">
        <v>8</v>
      </c>
      <c r="Q19" s="3" t="s">
        <v>5</v>
      </c>
      <c r="R19" s="3" t="s">
        <v>8</v>
      </c>
      <c r="S19" s="3" t="s">
        <v>5</v>
      </c>
      <c r="T19" s="3" t="s">
        <v>5</v>
      </c>
      <c r="U19" s="3" t="s">
        <v>8</v>
      </c>
      <c r="V19" s="2" t="s">
        <v>8</v>
      </c>
      <c r="W19" s="2" t="s">
        <v>5</v>
      </c>
      <c r="X19" s="2" t="s">
        <v>5</v>
      </c>
      <c r="Y19" s="2" t="s">
        <v>8</v>
      </c>
      <c r="Z19" s="2" t="s">
        <v>8</v>
      </c>
      <c r="AA19" s="2" t="s">
        <v>8</v>
      </c>
      <c r="AB19" s="2" t="s">
        <v>6</v>
      </c>
    </row>
    <row r="20" spans="1:28" x14ac:dyDescent="0.25">
      <c r="A20" s="3" t="s">
        <v>2</v>
      </c>
      <c r="B20" s="3" t="s">
        <v>5</v>
      </c>
      <c r="C20" s="3" t="s">
        <v>5</v>
      </c>
      <c r="D20" s="3" t="s">
        <v>8</v>
      </c>
      <c r="E20" s="3" t="s">
        <v>8</v>
      </c>
      <c r="F20" s="3" t="s">
        <v>8</v>
      </c>
      <c r="G20" s="3" t="s">
        <v>5</v>
      </c>
      <c r="H20" s="2" t="s">
        <v>5</v>
      </c>
      <c r="I20" s="2" t="s">
        <v>5</v>
      </c>
      <c r="J20" s="2" t="s">
        <v>8</v>
      </c>
      <c r="K20" s="2" t="s">
        <v>5</v>
      </c>
      <c r="L20" s="2" t="s">
        <v>8</v>
      </c>
      <c r="M20" s="2" t="s">
        <v>5</v>
      </c>
      <c r="N20" s="2" t="s">
        <v>8</v>
      </c>
      <c r="O20" s="3" t="s">
        <v>8</v>
      </c>
      <c r="P20" s="3" t="s">
        <v>5</v>
      </c>
      <c r="Q20" s="3" t="s">
        <v>5</v>
      </c>
      <c r="R20" s="3" t="s">
        <v>8</v>
      </c>
      <c r="S20" s="3" t="s">
        <v>8</v>
      </c>
      <c r="T20" s="3" t="s">
        <v>5</v>
      </c>
      <c r="U20" s="3" t="s">
        <v>5</v>
      </c>
      <c r="V20" s="2" t="s">
        <v>5</v>
      </c>
      <c r="W20" s="2" t="s">
        <v>5</v>
      </c>
      <c r="X20" s="2" t="s">
        <v>8</v>
      </c>
      <c r="Y20" s="2" t="s">
        <v>8</v>
      </c>
      <c r="Z20" s="2" t="s">
        <v>8</v>
      </c>
      <c r="AA20" s="2" t="s">
        <v>5</v>
      </c>
      <c r="AB20" s="2" t="s">
        <v>9</v>
      </c>
    </row>
    <row r="21" spans="1:28" x14ac:dyDescent="0.25">
      <c r="A21" s="3" t="s">
        <v>1</v>
      </c>
      <c r="B21" s="3" t="s">
        <v>10</v>
      </c>
      <c r="C21" s="3" t="s">
        <v>10</v>
      </c>
      <c r="D21" s="3" t="s">
        <v>10</v>
      </c>
      <c r="E21" s="3" t="s">
        <v>10</v>
      </c>
      <c r="F21" s="3" t="s">
        <v>5</v>
      </c>
      <c r="G21" s="3" t="s">
        <v>10</v>
      </c>
      <c r="H21" s="2" t="s">
        <v>10</v>
      </c>
      <c r="I21" s="2" t="s">
        <v>10</v>
      </c>
      <c r="J21" s="2" t="s">
        <v>10</v>
      </c>
      <c r="K21" s="2" t="s">
        <v>10</v>
      </c>
      <c r="L21" s="2" t="s">
        <v>10</v>
      </c>
      <c r="M21" s="2" t="s">
        <v>5</v>
      </c>
      <c r="N21" s="2" t="s">
        <v>5</v>
      </c>
      <c r="O21" s="3" t="s">
        <v>5</v>
      </c>
      <c r="P21" s="3" t="s">
        <v>10</v>
      </c>
      <c r="Q21" s="3" t="s">
        <v>10</v>
      </c>
      <c r="R21" s="3" t="s">
        <v>10</v>
      </c>
      <c r="S21" s="3" t="s">
        <v>5</v>
      </c>
      <c r="T21" s="3" t="s">
        <v>10</v>
      </c>
      <c r="U21" s="3" t="s">
        <v>10</v>
      </c>
      <c r="V21" s="2" t="s">
        <v>10</v>
      </c>
      <c r="W21" s="2" t="s">
        <v>10</v>
      </c>
      <c r="X21" s="2" t="s">
        <v>10</v>
      </c>
      <c r="Y21" s="2" t="s">
        <v>10</v>
      </c>
      <c r="Z21" s="2" t="s">
        <v>5</v>
      </c>
      <c r="AA21" s="2" t="s">
        <v>10</v>
      </c>
      <c r="AB21" s="2" t="s">
        <v>6</v>
      </c>
    </row>
  </sheetData>
  <pageMargins left="0.23" right="0.19" top="0.75" bottom="0.75" header="0.3" footer="0.3"/>
  <pageSetup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MainTour</vt:lpstr>
      <vt:lpstr>DAT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IPS User</dc:creator>
  <cp:lastModifiedBy>isken</cp:lastModifiedBy>
  <dcterms:created xsi:type="dcterms:W3CDTF">2011-07-08T14:19:46Z</dcterms:created>
  <dcterms:modified xsi:type="dcterms:W3CDTF">2011-11-21T20:28:24Z</dcterms:modified>
</cp:coreProperties>
</file>